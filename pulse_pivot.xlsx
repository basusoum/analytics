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C-Network Overview" sheetId="1" state="visible" r:id="rId1"/>
    <sheet name="Transposed View" sheetId="2" state="visible" r:id="rId2"/>
    <sheet name="Planner Triage View" sheetId="3" state="visible" r:id="rId3"/>
    <sheet name="Alert T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5"/>
  <sheetViews>
    <sheetView workbookViewId="0">
      <selection activeCell="A1" sqref="A1"/>
    </sheetView>
  </sheetViews>
  <sheetFormatPr baseColWidth="8" defaultRowHeight="15"/>
  <cols>
    <col width="12" customWidth="1" min="1" max="1"/>
    <col width="11" customWidth="1" min="2" max="2"/>
    <col width="13" customWidth="1" min="3" max="3"/>
    <col width="25" customWidth="1" min="4" max="4"/>
    <col width="12"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s>
  <sheetData>
    <row r="1">
      <c r="A1" s="1" t="inlineStr">
        <is>
          <t>SKU</t>
        </is>
      </c>
      <c r="B1" s="1" t="inlineStr">
        <is>
          <t>Site ID</t>
        </is>
      </c>
      <c r="C1" s="1" t="inlineStr">
        <is>
          <t>Site Type</t>
        </is>
      </c>
      <c r="D1" s="1" t="inlineStr">
        <is>
          <t>Figure Name</t>
        </is>
      </c>
      <c r="E1" s="1" t="inlineStr">
        <is>
          <t>Category</t>
        </is>
      </c>
      <c r="F1" s="1" t="inlineStr">
        <is>
          <t>2026-02-08</t>
        </is>
      </c>
      <c r="G1" s="1" t="inlineStr">
        <is>
          <t>2026-02-15</t>
        </is>
      </c>
      <c r="H1" s="1" t="inlineStr">
        <is>
          <t>2026-02-22</t>
        </is>
      </c>
      <c r="I1" s="1" t="inlineStr">
        <is>
          <t>2026-03-01</t>
        </is>
      </c>
      <c r="J1" s="1" t="inlineStr">
        <is>
          <t>2026-03-08</t>
        </is>
      </c>
      <c r="K1" s="1" t="inlineStr">
        <is>
          <t>2026-03-15</t>
        </is>
      </c>
      <c r="L1" s="1" t="inlineStr">
        <is>
          <t>2026-03-22</t>
        </is>
      </c>
      <c r="M1" s="1" t="inlineStr">
        <is>
          <t>2026-03-29</t>
        </is>
      </c>
      <c r="N1" s="1" t="inlineStr">
        <is>
          <t>2026-04-05</t>
        </is>
      </c>
      <c r="O1" s="1" t="inlineStr">
        <is>
          <t>2026-04-12</t>
        </is>
      </c>
      <c r="P1" s="1" t="inlineStr">
        <is>
          <t>2026-04-19</t>
        </is>
      </c>
      <c r="Q1" s="1" t="inlineStr">
        <is>
          <t>2026-04-26</t>
        </is>
      </c>
    </row>
    <row r="2">
      <c r="A2" t="inlineStr">
        <is>
          <t>SKU_0001</t>
        </is>
      </c>
      <c r="B2" t="inlineStr">
        <is>
          <t>DC1</t>
        </is>
      </c>
      <c r="C2" t="inlineStr">
        <is>
          <t>DC</t>
        </is>
      </c>
      <c r="D2" t="inlineStr">
        <is>
          <t>Start Inventory</t>
        </is>
      </c>
      <c r="E2" t="inlineStr">
        <is>
          <t>Inv</t>
        </is>
      </c>
      <c r="F2" t="n">
        <v>316</v>
      </c>
      <c r="G2">
        <f>F9</f>
        <v/>
      </c>
      <c r="H2">
        <f>G9</f>
        <v/>
      </c>
      <c r="I2">
        <f>H9</f>
        <v/>
      </c>
      <c r="J2">
        <f>I9</f>
        <v/>
      </c>
      <c r="K2">
        <f>J9</f>
        <v/>
      </c>
      <c r="L2">
        <f>K9</f>
        <v/>
      </c>
      <c r="M2">
        <f>L9</f>
        <v/>
      </c>
      <c r="N2">
        <f>M9</f>
        <v/>
      </c>
      <c r="O2">
        <f>N9</f>
        <v/>
      </c>
      <c r="P2">
        <f>O9</f>
        <v/>
      </c>
      <c r="Q2">
        <f>P9</f>
        <v/>
      </c>
    </row>
    <row r="3">
      <c r="A3" t="inlineStr"/>
      <c r="B3" t="inlineStr"/>
      <c r="C3" t="inlineStr">
        <is>
          <t>DC</t>
        </is>
      </c>
      <c r="D3" t="inlineStr">
        <is>
          <t>Total Forecast/Order</t>
        </is>
      </c>
      <c r="E3" t="inlineStr">
        <is>
          <t>Demand</t>
        </is>
      </c>
      <c r="F3" t="n">
        <v>66</v>
      </c>
      <c r="G3" t="n">
        <v>47</v>
      </c>
      <c r="H3" t="n">
        <v>58</v>
      </c>
      <c r="I3" t="n">
        <v>78</v>
      </c>
      <c r="J3" t="n">
        <v>76</v>
      </c>
      <c r="K3" t="n">
        <v>49</v>
      </c>
      <c r="L3" t="n">
        <v>68</v>
      </c>
      <c r="M3" t="n">
        <v>77</v>
      </c>
      <c r="N3" t="n">
        <v>46</v>
      </c>
      <c r="O3" t="n">
        <v>56</v>
      </c>
      <c r="P3" t="n">
        <v>70</v>
      </c>
      <c r="Q3" t="n">
        <v>60</v>
      </c>
    </row>
    <row r="4">
      <c r="A4" t="inlineStr"/>
      <c r="B4" t="inlineStr"/>
      <c r="C4" t="inlineStr">
        <is>
          <t>DC</t>
        </is>
      </c>
      <c r="D4" t="inlineStr">
        <is>
          <t>Start Backorder</t>
        </is>
      </c>
      <c r="E4" t="inlineStr">
        <is>
          <t>Demand</t>
        </is>
      </c>
      <c r="F4" t="n">
        <v>0</v>
      </c>
      <c r="G4">
        <f>F8</f>
        <v/>
      </c>
      <c r="H4">
        <f>G8</f>
        <v/>
      </c>
      <c r="I4">
        <f>H8</f>
        <v/>
      </c>
      <c r="J4">
        <f>I8</f>
        <v/>
      </c>
      <c r="K4">
        <f>J8</f>
        <v/>
      </c>
      <c r="L4">
        <f>K8</f>
        <v/>
      </c>
      <c r="M4">
        <f>L8</f>
        <v/>
      </c>
      <c r="N4">
        <f>M8</f>
        <v/>
      </c>
      <c r="O4">
        <f>N8</f>
        <v/>
      </c>
      <c r="P4">
        <f>O8</f>
        <v/>
      </c>
      <c r="Q4">
        <f>P8</f>
        <v/>
      </c>
    </row>
    <row r="5">
      <c r="A5" t="inlineStr"/>
      <c r="B5" t="inlineStr"/>
      <c r="C5" t="inlineStr">
        <is>
          <t>DC</t>
        </is>
      </c>
      <c r="D5" t="inlineStr">
        <is>
          <t>Total Demand</t>
        </is>
      </c>
      <c r="E5" t="inlineStr">
        <is>
          <t>Demand</t>
        </is>
      </c>
      <c r="F5">
        <f>F3+F4</f>
        <v/>
      </c>
      <c r="G5">
        <f>G3+G4</f>
        <v/>
      </c>
      <c r="H5">
        <f>H3+H4</f>
        <v/>
      </c>
      <c r="I5">
        <f>I3+I4</f>
        <v/>
      </c>
      <c r="J5">
        <f>J3+J4</f>
        <v/>
      </c>
      <c r="K5">
        <f>K3+K4</f>
        <v/>
      </c>
      <c r="L5">
        <f>L3+L4</f>
        <v/>
      </c>
      <c r="M5">
        <f>M3+M4</f>
        <v/>
      </c>
      <c r="N5">
        <f>N3+N4</f>
        <v/>
      </c>
      <c r="O5">
        <f>O3+O4</f>
        <v/>
      </c>
      <c r="P5">
        <f>P3+P4</f>
        <v/>
      </c>
      <c r="Q5">
        <f>Q3+Q4</f>
        <v/>
      </c>
    </row>
    <row r="6">
      <c r="A6" t="inlineStr"/>
      <c r="B6" t="inlineStr"/>
      <c r="C6" t="inlineStr">
        <is>
          <t>DC</t>
        </is>
      </c>
      <c r="D6" t="inlineStr">
        <is>
          <t>Dist. Receipt Planned</t>
        </is>
      </c>
      <c r="E6" t="inlineStr">
        <is>
          <t>Supply</t>
        </is>
      </c>
      <c r="F6" t="n">
        <v>0</v>
      </c>
      <c r="G6" t="n">
        <v>105</v>
      </c>
      <c r="H6" t="n">
        <v>166</v>
      </c>
      <c r="I6" t="n">
        <v>0</v>
      </c>
      <c r="J6" t="n">
        <v>401</v>
      </c>
      <c r="K6" t="n">
        <v>0</v>
      </c>
      <c r="L6" t="n">
        <v>0</v>
      </c>
      <c r="M6" t="n">
        <v>131</v>
      </c>
      <c r="N6" t="n">
        <v>0</v>
      </c>
      <c r="O6" t="n">
        <v>407</v>
      </c>
      <c r="P6" t="n">
        <v>196</v>
      </c>
      <c r="Q6" t="n">
        <v>0</v>
      </c>
    </row>
    <row r="7">
      <c r="A7" t="inlineStr"/>
      <c r="B7" t="inlineStr"/>
      <c r="C7" t="inlineStr">
        <is>
          <t>DC</t>
        </is>
      </c>
      <c r="D7" t="inlineStr">
        <is>
          <t>Total Supply</t>
        </is>
      </c>
      <c r="E7" t="inlineStr">
        <is>
          <t>Supply</t>
        </is>
      </c>
      <c r="F7">
        <f>F6</f>
        <v/>
      </c>
      <c r="G7">
        <f>G6</f>
        <v/>
      </c>
      <c r="H7">
        <f>H6</f>
        <v/>
      </c>
      <c r="I7">
        <f>I6</f>
        <v/>
      </c>
      <c r="J7">
        <f>J6</f>
        <v/>
      </c>
      <c r="K7">
        <f>K6</f>
        <v/>
      </c>
      <c r="L7">
        <f>L6</f>
        <v/>
      </c>
      <c r="M7">
        <f>M6</f>
        <v/>
      </c>
      <c r="N7">
        <f>N6</f>
        <v/>
      </c>
      <c r="O7">
        <f>O6</f>
        <v/>
      </c>
      <c r="P7">
        <f>P6</f>
        <v/>
      </c>
      <c r="Q7">
        <f>Q6</f>
        <v/>
      </c>
    </row>
    <row r="8">
      <c r="A8" t="inlineStr"/>
      <c r="B8" t="inlineStr"/>
      <c r="C8" t="inlineStr">
        <is>
          <t>DC</t>
        </is>
      </c>
      <c r="D8" t="inlineStr">
        <is>
          <t>End. Backorder</t>
        </is>
      </c>
      <c r="E8" t="inlineStr">
        <is>
          <t>Demand</t>
        </is>
      </c>
      <c r="F8">
        <f>-MIN(0,F2+F7-F5)</f>
        <v/>
      </c>
      <c r="G8">
        <f>-MIN(0,G2+G7-G5)</f>
        <v/>
      </c>
      <c r="H8">
        <f>-MIN(0,H2+H7-H5)</f>
        <v/>
      </c>
      <c r="I8">
        <f>-MIN(0,I2+I7-I5)</f>
        <v/>
      </c>
      <c r="J8">
        <f>-MIN(0,J2+J7-J5)</f>
        <v/>
      </c>
      <c r="K8">
        <f>-MIN(0,K2+K7-K5)</f>
        <v/>
      </c>
      <c r="L8">
        <f>-MIN(0,L2+L7-L5)</f>
        <v/>
      </c>
      <c r="M8">
        <f>-MIN(0,M2+M7-M5)</f>
        <v/>
      </c>
      <c r="N8">
        <f>-MIN(0,N2+N7-N5)</f>
        <v/>
      </c>
      <c r="O8">
        <f>-MIN(0,O2+O7-O5)</f>
        <v/>
      </c>
      <c r="P8">
        <f>-MIN(0,P2+P7-P5)</f>
        <v/>
      </c>
      <c r="Q8">
        <f>-MIN(0,Q2+Q7-Q5)</f>
        <v/>
      </c>
    </row>
    <row r="9">
      <c r="A9" t="inlineStr"/>
      <c r="B9" t="inlineStr"/>
      <c r="C9" t="inlineStr">
        <is>
          <t>DC</t>
        </is>
      </c>
      <c r="D9" t="inlineStr">
        <is>
          <t>End. Inventory</t>
        </is>
      </c>
      <c r="E9" t="inlineStr">
        <is>
          <t>Inv</t>
        </is>
      </c>
      <c r="F9">
        <f>MAX(F2+F7-F5,0)</f>
        <v/>
      </c>
      <c r="G9">
        <f>MAX(G2+G7-G5,0)</f>
        <v/>
      </c>
      <c r="H9">
        <f>MAX(H2+H7-H5,0)</f>
        <v/>
      </c>
      <c r="I9">
        <f>MAX(I2+I7-I5,0)</f>
        <v/>
      </c>
      <c r="J9">
        <f>MAX(J2+J7-J5,0)</f>
        <v/>
      </c>
      <c r="K9">
        <f>MAX(K2+K7-K5,0)</f>
        <v/>
      </c>
      <c r="L9">
        <f>MAX(L2+L7-L5,0)</f>
        <v/>
      </c>
      <c r="M9">
        <f>MAX(M2+M7-M5,0)</f>
        <v/>
      </c>
      <c r="N9">
        <f>MAX(N2+N7-N5,0)</f>
        <v/>
      </c>
      <c r="O9">
        <f>MAX(O2+O7-O5,0)</f>
        <v/>
      </c>
      <c r="P9">
        <f>MAX(P2+P7-P5,0)</f>
        <v/>
      </c>
      <c r="Q9">
        <f>MAX(Q2+Q7-Q5,0)</f>
        <v/>
      </c>
    </row>
    <row r="10">
      <c r="A10" t="inlineStr"/>
      <c r="B10" t="inlineStr"/>
      <c r="C10" t="inlineStr">
        <is>
          <t>DC</t>
        </is>
      </c>
      <c r="D10" t="inlineStr">
        <is>
          <t>MSTN Thresold</t>
        </is>
      </c>
      <c r="E10" t="inlineStr">
        <is>
          <t>Inv</t>
        </is>
      </c>
      <c r="F10" t="n">
        <v>264</v>
      </c>
      <c r="G10" t="n">
        <v>264</v>
      </c>
      <c r="H10" t="n">
        <v>264</v>
      </c>
      <c r="I10" t="n">
        <v>264</v>
      </c>
      <c r="J10" t="n">
        <v>264</v>
      </c>
      <c r="K10" t="n">
        <v>264</v>
      </c>
      <c r="L10" t="n">
        <v>264</v>
      </c>
      <c r="M10" t="n">
        <v>264</v>
      </c>
      <c r="N10" t="n">
        <v>264</v>
      </c>
      <c r="O10" t="n">
        <v>264</v>
      </c>
      <c r="P10" t="n">
        <v>264</v>
      </c>
      <c r="Q10" t="n">
        <v>264</v>
      </c>
    </row>
    <row r="11">
      <c r="A11" t="inlineStr"/>
      <c r="B11" t="inlineStr"/>
      <c r="C11" t="inlineStr">
        <is>
          <t>DC</t>
        </is>
      </c>
      <c r="D11" t="inlineStr">
        <is>
          <t>ESTN Thresold</t>
        </is>
      </c>
      <c r="E11" t="inlineStr">
        <is>
          <t>Inv</t>
        </is>
      </c>
      <c r="F11" t="n">
        <v>558</v>
      </c>
      <c r="G11" t="n">
        <v>558</v>
      </c>
      <c r="H11" t="n">
        <v>558</v>
      </c>
      <c r="I11" t="n">
        <v>558</v>
      </c>
      <c r="J11" t="n">
        <v>558</v>
      </c>
      <c r="K11" t="n">
        <v>558</v>
      </c>
      <c r="L11" t="n">
        <v>558</v>
      </c>
      <c r="M11" t="n">
        <v>558</v>
      </c>
      <c r="N11" t="n">
        <v>558</v>
      </c>
      <c r="O11" t="n">
        <v>558</v>
      </c>
      <c r="P11" t="n">
        <v>558</v>
      </c>
      <c r="Q11" t="n">
        <v>558</v>
      </c>
    </row>
    <row r="12">
      <c r="A12" t="inlineStr"/>
      <c r="B12" t="inlineStr"/>
      <c r="C12" t="inlineStr">
        <is>
          <t>DC</t>
        </is>
      </c>
      <c r="D12" t="inlineStr">
        <is>
          <t>MSTN%</t>
        </is>
      </c>
      <c r="E12" t="inlineStr"/>
      <c r="F12" s="2">
        <f>IFERROR(MIN(F9,F10)/F10,1)</f>
        <v/>
      </c>
      <c r="G12" s="2">
        <f>IFERROR(MIN(G9,G10)/G10,1)</f>
        <v/>
      </c>
      <c r="H12" s="2">
        <f>IFERROR(MIN(H9,H10)/H10,1)</f>
        <v/>
      </c>
      <c r="I12" s="2">
        <f>IFERROR(MIN(I9,I10)/I10,1)</f>
        <v/>
      </c>
      <c r="J12" s="2">
        <f>IFERROR(MIN(J9,J10)/J10,1)</f>
        <v/>
      </c>
      <c r="K12" s="2">
        <f>IFERROR(MIN(K9,K10)/K10,1)</f>
        <v/>
      </c>
      <c r="L12" s="2">
        <f>IFERROR(MIN(L9,L10)/L10,1)</f>
        <v/>
      </c>
      <c r="M12" s="2">
        <f>IFERROR(MIN(M9,M10)/M10,1)</f>
        <v/>
      </c>
      <c r="N12" s="2">
        <f>IFERROR(MIN(N9,N10)/N10,1)</f>
        <v/>
      </c>
      <c r="O12" s="2">
        <f>IFERROR(MIN(O9,O10)/O10,1)</f>
        <v/>
      </c>
      <c r="P12" s="2">
        <f>IFERROR(MIN(P9,P10)/P10,1)</f>
        <v/>
      </c>
      <c r="Q12" s="2">
        <f>IFERROR(MIN(Q9,Q10)/Q10,1)</f>
        <v/>
      </c>
    </row>
    <row r="13">
      <c r="A13" t="inlineStr"/>
      <c r="B13" t="inlineStr"/>
      <c r="C13" t="inlineStr">
        <is>
          <t>DC</t>
        </is>
      </c>
      <c r="D13" t="inlineStr">
        <is>
          <t>ESTN%</t>
        </is>
      </c>
      <c r="E13" t="inlineStr"/>
      <c r="F13" s="2">
        <f>MAX(F9-F11,0)/F11</f>
        <v/>
      </c>
      <c r="G13" s="2">
        <f>MAX(G9-G11,0)/G11</f>
        <v/>
      </c>
      <c r="H13" s="2">
        <f>MAX(H9-H11,0)/H11</f>
        <v/>
      </c>
      <c r="I13" s="2">
        <f>MAX(I9-I11,0)/I11</f>
        <v/>
      </c>
      <c r="J13" s="2">
        <f>MAX(J9-J11,0)/J11</f>
        <v/>
      </c>
      <c r="K13" s="2">
        <f>MAX(K9-K11,0)/K11</f>
        <v/>
      </c>
      <c r="L13" s="2">
        <f>MAX(L9-L11,0)/L11</f>
        <v/>
      </c>
      <c r="M13" s="2">
        <f>MAX(M9-M11,0)/M11</f>
        <v/>
      </c>
      <c r="N13" s="2">
        <f>MAX(N9-N11,0)/N11</f>
        <v/>
      </c>
      <c r="O13" s="2">
        <f>MAX(O9-O11,0)/O11</f>
        <v/>
      </c>
      <c r="P13" s="2">
        <f>MAX(P9-P11,0)/P11</f>
        <v/>
      </c>
      <c r="Q13" s="2">
        <f>MAX(Q9-Q11,0)/Q11</f>
        <v/>
      </c>
    </row>
    <row r="14">
      <c r="A14" t="inlineStr"/>
      <c r="B14" t="inlineStr"/>
      <c r="C14" t="inlineStr">
        <is>
          <t>DC</t>
        </is>
      </c>
      <c r="D14" t="inlineStr">
        <is>
          <t>Shortage</t>
        </is>
      </c>
      <c r="E14" t="inlineStr">
        <is>
          <t>Inv</t>
        </is>
      </c>
      <c r="F14">
        <f>MAX(0,F10-F9)</f>
        <v/>
      </c>
      <c r="G14">
        <f>MAX(0,G10-G9)</f>
        <v/>
      </c>
      <c r="H14">
        <f>MAX(0,H10-H9)</f>
        <v/>
      </c>
      <c r="I14">
        <f>MAX(0,I10-I9)</f>
        <v/>
      </c>
      <c r="J14">
        <f>MAX(0,J10-J9)</f>
        <v/>
      </c>
      <c r="K14">
        <f>MAX(0,K10-K9)</f>
        <v/>
      </c>
      <c r="L14">
        <f>MAX(0,L10-L9)</f>
        <v/>
      </c>
      <c r="M14">
        <f>MAX(0,M10-M9)</f>
        <v/>
      </c>
      <c r="N14">
        <f>MAX(0,N10-N9)</f>
        <v/>
      </c>
      <c r="O14">
        <f>MAX(0,O10-O9)</f>
        <v/>
      </c>
      <c r="P14">
        <f>MAX(0,P10-P9)</f>
        <v/>
      </c>
      <c r="Q14">
        <f>MAX(0,Q10-Q9)</f>
        <v/>
      </c>
    </row>
    <row r="15">
      <c r="A15" t="inlineStr"/>
      <c r="B15" t="inlineStr"/>
      <c r="C15" t="inlineStr">
        <is>
          <t>DC</t>
        </is>
      </c>
      <c r="D15" t="inlineStr">
        <is>
          <t>Excess</t>
        </is>
      </c>
      <c r="E15" t="inlineStr">
        <is>
          <t>Inv</t>
        </is>
      </c>
      <c r="F15">
        <f>MAX(0,F9-F11)</f>
        <v/>
      </c>
      <c r="G15">
        <f>MAX(0,G9-G11)</f>
        <v/>
      </c>
      <c r="H15">
        <f>MAX(0,H9-H11)</f>
        <v/>
      </c>
      <c r="I15">
        <f>MAX(0,I9-I11)</f>
        <v/>
      </c>
      <c r="J15">
        <f>MAX(0,J9-J11)</f>
        <v/>
      </c>
      <c r="K15">
        <f>MAX(0,K9-K11)</f>
        <v/>
      </c>
      <c r="L15">
        <f>MAX(0,L9-L11)</f>
        <v/>
      </c>
      <c r="M15">
        <f>MAX(0,M9-M11)</f>
        <v/>
      </c>
      <c r="N15">
        <f>MAX(0,N9-N11)</f>
        <v/>
      </c>
      <c r="O15">
        <f>MAX(0,O9-O11)</f>
        <v/>
      </c>
      <c r="P15">
        <f>MAX(0,P9-P11)</f>
        <v/>
      </c>
      <c r="Q15">
        <f>MAX(0,Q9-Q11)</f>
        <v/>
      </c>
    </row>
    <row r="16">
      <c r="A16" t="inlineStr"/>
      <c r="B16" t="inlineStr"/>
      <c r="C16" t="inlineStr">
        <is>
          <t>DC</t>
        </is>
      </c>
      <c r="D16" t="inlineStr">
        <is>
          <t>Out of stock Value($)</t>
        </is>
      </c>
      <c r="E16" t="inlineStr">
        <is>
          <t>Val</t>
        </is>
      </c>
    </row>
    <row r="17">
      <c r="A17" t="inlineStr"/>
      <c r="B17" t="inlineStr"/>
      <c r="C17" t="inlineStr">
        <is>
          <t>DC</t>
        </is>
      </c>
      <c r="D17" t="inlineStr">
        <is>
          <t>Excess and over($)</t>
        </is>
      </c>
      <c r="E17" t="inlineStr">
        <is>
          <t>Val</t>
        </is>
      </c>
    </row>
    <row r="18"/>
    <row r="19">
      <c r="A19" t="inlineStr">
        <is>
          <t>SKU_0001</t>
        </is>
      </c>
      <c r="B19" t="inlineStr">
        <is>
          <t>DC2</t>
        </is>
      </c>
      <c r="C19" t="inlineStr">
        <is>
          <t>DC</t>
        </is>
      </c>
      <c r="D19" t="inlineStr">
        <is>
          <t>Start Inventory</t>
        </is>
      </c>
      <c r="E19" t="inlineStr">
        <is>
          <t>Inv</t>
        </is>
      </c>
      <c r="F19" t="n">
        <v>275</v>
      </c>
      <c r="G19">
        <f>F26</f>
        <v/>
      </c>
      <c r="H19">
        <f>G26</f>
        <v/>
      </c>
      <c r="I19">
        <f>H26</f>
        <v/>
      </c>
      <c r="J19">
        <f>I26</f>
        <v/>
      </c>
      <c r="K19">
        <f>J26</f>
        <v/>
      </c>
      <c r="L19">
        <f>K26</f>
        <v/>
      </c>
      <c r="M19">
        <f>L26</f>
        <v/>
      </c>
      <c r="N19">
        <f>M26</f>
        <v/>
      </c>
      <c r="O19">
        <f>N26</f>
        <v/>
      </c>
      <c r="P19">
        <f>O26</f>
        <v/>
      </c>
      <c r="Q19">
        <f>P26</f>
        <v/>
      </c>
    </row>
    <row r="20">
      <c r="A20" t="inlineStr"/>
      <c r="B20" t="inlineStr"/>
      <c r="C20" t="inlineStr">
        <is>
          <t>DC</t>
        </is>
      </c>
      <c r="D20" t="inlineStr">
        <is>
          <t>Total Forecast/Order</t>
        </is>
      </c>
      <c r="E20" t="inlineStr">
        <is>
          <t>Demand</t>
        </is>
      </c>
      <c r="F20" t="n">
        <v>50</v>
      </c>
      <c r="G20" t="n">
        <v>52</v>
      </c>
      <c r="H20" t="n">
        <v>31</v>
      </c>
      <c r="I20" t="n">
        <v>54</v>
      </c>
      <c r="J20" t="n">
        <v>52</v>
      </c>
      <c r="K20" t="n">
        <v>47</v>
      </c>
      <c r="L20" t="n">
        <v>44</v>
      </c>
      <c r="M20" t="n">
        <v>59</v>
      </c>
      <c r="N20" t="n">
        <v>45</v>
      </c>
      <c r="O20" t="n">
        <v>42</v>
      </c>
      <c r="P20" t="n">
        <v>37</v>
      </c>
      <c r="Q20" t="n">
        <v>51</v>
      </c>
    </row>
    <row r="21">
      <c r="A21" t="inlineStr"/>
      <c r="B21" t="inlineStr"/>
      <c r="C21" t="inlineStr">
        <is>
          <t>DC</t>
        </is>
      </c>
      <c r="D21" t="inlineStr">
        <is>
          <t>Start Backorder</t>
        </is>
      </c>
      <c r="E21" t="inlineStr">
        <is>
          <t>Demand</t>
        </is>
      </c>
      <c r="F21" t="n">
        <v>0</v>
      </c>
      <c r="G21">
        <f>F25</f>
        <v/>
      </c>
      <c r="H21">
        <f>G25</f>
        <v/>
      </c>
      <c r="I21">
        <f>H25</f>
        <v/>
      </c>
      <c r="J21">
        <f>I25</f>
        <v/>
      </c>
      <c r="K21">
        <f>J25</f>
        <v/>
      </c>
      <c r="L21">
        <f>K25</f>
        <v/>
      </c>
      <c r="M21">
        <f>L25</f>
        <v/>
      </c>
      <c r="N21">
        <f>M25</f>
        <v/>
      </c>
      <c r="O21">
        <f>N25</f>
        <v/>
      </c>
      <c r="P21">
        <f>O25</f>
        <v/>
      </c>
      <c r="Q21">
        <f>P25</f>
        <v/>
      </c>
    </row>
    <row r="22">
      <c r="A22" t="inlineStr"/>
      <c r="B22" t="inlineStr"/>
      <c r="C22" t="inlineStr">
        <is>
          <t>DC</t>
        </is>
      </c>
      <c r="D22" t="inlineStr">
        <is>
          <t>Total Demand</t>
        </is>
      </c>
      <c r="E22" t="inlineStr">
        <is>
          <t>Demand</t>
        </is>
      </c>
      <c r="F22">
        <f>F20+F21</f>
        <v/>
      </c>
      <c r="G22">
        <f>G20+G21</f>
        <v/>
      </c>
      <c r="H22">
        <f>H20+H21</f>
        <v/>
      </c>
      <c r="I22">
        <f>I20+I21</f>
        <v/>
      </c>
      <c r="J22">
        <f>J20+J21</f>
        <v/>
      </c>
      <c r="K22">
        <f>K20+K21</f>
        <v/>
      </c>
      <c r="L22">
        <f>L20+L21</f>
        <v/>
      </c>
      <c r="M22">
        <f>M20+M21</f>
        <v/>
      </c>
      <c r="N22">
        <f>N20+N21</f>
        <v/>
      </c>
      <c r="O22">
        <f>O20+O21</f>
        <v/>
      </c>
      <c r="P22">
        <f>P20+P21</f>
        <v/>
      </c>
      <c r="Q22">
        <f>Q20+Q21</f>
        <v/>
      </c>
    </row>
    <row r="23">
      <c r="A23" t="inlineStr"/>
      <c r="B23" t="inlineStr"/>
      <c r="C23" t="inlineStr">
        <is>
          <t>DC</t>
        </is>
      </c>
      <c r="D23" t="inlineStr">
        <is>
          <t>Dist. Receipt Planned</t>
        </is>
      </c>
      <c r="E23" t="inlineStr">
        <is>
          <t>Supply</t>
        </is>
      </c>
      <c r="F23" t="n">
        <v>0</v>
      </c>
      <c r="G23" t="n">
        <v>91</v>
      </c>
      <c r="H23" t="n">
        <v>88</v>
      </c>
      <c r="I23" t="n">
        <v>311</v>
      </c>
      <c r="J23" t="n">
        <v>0</v>
      </c>
      <c r="K23" t="n">
        <v>0</v>
      </c>
      <c r="L23" t="n">
        <v>0</v>
      </c>
      <c r="M23" t="n">
        <v>74</v>
      </c>
      <c r="N23" t="n">
        <v>271</v>
      </c>
      <c r="O23" t="n">
        <v>0</v>
      </c>
      <c r="P23" t="n">
        <v>87</v>
      </c>
      <c r="Q23" t="n">
        <v>130</v>
      </c>
    </row>
    <row r="24">
      <c r="A24" t="inlineStr"/>
      <c r="B24" t="inlineStr"/>
      <c r="C24" t="inlineStr">
        <is>
          <t>DC</t>
        </is>
      </c>
      <c r="D24" t="inlineStr">
        <is>
          <t>Total Supply</t>
        </is>
      </c>
      <c r="E24" t="inlineStr">
        <is>
          <t>Supply</t>
        </is>
      </c>
      <c r="F24">
        <f>F23</f>
        <v/>
      </c>
      <c r="G24">
        <f>G23</f>
        <v/>
      </c>
      <c r="H24">
        <f>H23</f>
        <v/>
      </c>
      <c r="I24">
        <f>I23</f>
        <v/>
      </c>
      <c r="J24">
        <f>J23</f>
        <v/>
      </c>
      <c r="K24">
        <f>K23</f>
        <v/>
      </c>
      <c r="L24">
        <f>L23</f>
        <v/>
      </c>
      <c r="M24">
        <f>M23</f>
        <v/>
      </c>
      <c r="N24">
        <f>N23</f>
        <v/>
      </c>
      <c r="O24">
        <f>O23</f>
        <v/>
      </c>
      <c r="P24">
        <f>P23</f>
        <v/>
      </c>
      <c r="Q24">
        <f>Q23</f>
        <v/>
      </c>
    </row>
    <row r="25">
      <c r="A25" t="inlineStr"/>
      <c r="B25" t="inlineStr"/>
      <c r="C25" t="inlineStr">
        <is>
          <t>DC</t>
        </is>
      </c>
      <c r="D25" t="inlineStr">
        <is>
          <t>End. Backorder</t>
        </is>
      </c>
      <c r="E25" t="inlineStr">
        <is>
          <t>Demand</t>
        </is>
      </c>
      <c r="F25">
        <f>-MIN(0,F19+F24-F22)</f>
        <v/>
      </c>
      <c r="G25">
        <f>-MIN(0,G19+G24-G22)</f>
        <v/>
      </c>
      <c r="H25">
        <f>-MIN(0,H19+H24-H22)</f>
        <v/>
      </c>
      <c r="I25">
        <f>-MIN(0,I19+I24-I22)</f>
        <v/>
      </c>
      <c r="J25">
        <f>-MIN(0,J19+J24-J22)</f>
        <v/>
      </c>
      <c r="K25">
        <f>-MIN(0,K19+K24-K22)</f>
        <v/>
      </c>
      <c r="L25">
        <f>-MIN(0,L19+L24-L22)</f>
        <v/>
      </c>
      <c r="M25">
        <f>-MIN(0,M19+M24-M22)</f>
        <v/>
      </c>
      <c r="N25">
        <f>-MIN(0,N19+N24-N22)</f>
        <v/>
      </c>
      <c r="O25">
        <f>-MIN(0,O19+O24-O22)</f>
        <v/>
      </c>
      <c r="P25">
        <f>-MIN(0,P19+P24-P22)</f>
        <v/>
      </c>
      <c r="Q25">
        <f>-MIN(0,Q19+Q24-Q22)</f>
        <v/>
      </c>
    </row>
    <row r="26">
      <c r="A26" t="inlineStr"/>
      <c r="B26" t="inlineStr"/>
      <c r="C26" t="inlineStr">
        <is>
          <t>DC</t>
        </is>
      </c>
      <c r="D26" t="inlineStr">
        <is>
          <t>End. Inventory</t>
        </is>
      </c>
      <c r="E26" t="inlineStr">
        <is>
          <t>Inv</t>
        </is>
      </c>
      <c r="F26">
        <f>MAX(F19+F24-F22,0)</f>
        <v/>
      </c>
      <c r="G26">
        <f>MAX(G19+G24-G22,0)</f>
        <v/>
      </c>
      <c r="H26">
        <f>MAX(H19+H24-H22,0)</f>
        <v/>
      </c>
      <c r="I26">
        <f>MAX(I19+I24-I22,0)</f>
        <v/>
      </c>
      <c r="J26">
        <f>MAX(J19+J24-J22,0)</f>
        <v/>
      </c>
      <c r="K26">
        <f>MAX(K19+K24-K22,0)</f>
        <v/>
      </c>
      <c r="L26">
        <f>MAX(L19+L24-L22,0)</f>
        <v/>
      </c>
      <c r="M26">
        <f>MAX(M19+M24-M22,0)</f>
        <v/>
      </c>
      <c r="N26">
        <f>MAX(N19+N24-N22,0)</f>
        <v/>
      </c>
      <c r="O26">
        <f>MAX(O19+O24-O22,0)</f>
        <v/>
      </c>
      <c r="P26">
        <f>MAX(P19+P24-P22,0)</f>
        <v/>
      </c>
      <c r="Q26">
        <f>MAX(Q19+Q24-Q22,0)</f>
        <v/>
      </c>
    </row>
    <row r="27">
      <c r="A27" t="inlineStr"/>
      <c r="B27" t="inlineStr"/>
      <c r="C27" t="inlineStr">
        <is>
          <t>DC</t>
        </is>
      </c>
      <c r="D27" t="inlineStr">
        <is>
          <t>MSTN Thresold</t>
        </is>
      </c>
      <c r="E27" t="inlineStr">
        <is>
          <t>Inv</t>
        </is>
      </c>
      <c r="F27" t="n">
        <v>180</v>
      </c>
      <c r="G27" t="n">
        <v>180</v>
      </c>
      <c r="H27" t="n">
        <v>180</v>
      </c>
      <c r="I27" t="n">
        <v>180</v>
      </c>
      <c r="J27" t="n">
        <v>180</v>
      </c>
      <c r="K27" t="n">
        <v>180</v>
      </c>
      <c r="L27" t="n">
        <v>180</v>
      </c>
      <c r="M27" t="n">
        <v>180</v>
      </c>
      <c r="N27" t="n">
        <v>180</v>
      </c>
      <c r="O27" t="n">
        <v>180</v>
      </c>
      <c r="P27" t="n">
        <v>180</v>
      </c>
      <c r="Q27" t="n">
        <v>180</v>
      </c>
    </row>
    <row r="28">
      <c r="A28" t="inlineStr"/>
      <c r="B28" t="inlineStr"/>
      <c r="C28" t="inlineStr">
        <is>
          <t>DC</t>
        </is>
      </c>
      <c r="D28" t="inlineStr">
        <is>
          <t>ESTN Thresold</t>
        </is>
      </c>
      <c r="E28" t="inlineStr">
        <is>
          <t>Inv</t>
        </is>
      </c>
      <c r="F28" t="n">
        <v>367</v>
      </c>
      <c r="G28" t="n">
        <v>367</v>
      </c>
      <c r="H28" t="n">
        <v>367</v>
      </c>
      <c r="I28" t="n">
        <v>367</v>
      </c>
      <c r="J28" t="n">
        <v>367</v>
      </c>
      <c r="K28" t="n">
        <v>367</v>
      </c>
      <c r="L28" t="n">
        <v>367</v>
      </c>
      <c r="M28" t="n">
        <v>367</v>
      </c>
      <c r="N28" t="n">
        <v>367</v>
      </c>
      <c r="O28" t="n">
        <v>367</v>
      </c>
      <c r="P28" t="n">
        <v>367</v>
      </c>
      <c r="Q28" t="n">
        <v>367</v>
      </c>
    </row>
    <row r="29">
      <c r="A29" t="inlineStr"/>
      <c r="B29" t="inlineStr"/>
      <c r="C29" t="inlineStr">
        <is>
          <t>DC</t>
        </is>
      </c>
      <c r="D29" t="inlineStr">
        <is>
          <t>MSTN%</t>
        </is>
      </c>
      <c r="E29" t="inlineStr"/>
      <c r="F29" s="2">
        <f>IFERROR(MIN(F26,F27)/F27,1)</f>
        <v/>
      </c>
      <c r="G29" s="2">
        <f>IFERROR(MIN(G26,G27)/G27,1)</f>
        <v/>
      </c>
      <c r="H29" s="2">
        <f>IFERROR(MIN(H26,H27)/H27,1)</f>
        <v/>
      </c>
      <c r="I29" s="2">
        <f>IFERROR(MIN(I26,I27)/I27,1)</f>
        <v/>
      </c>
      <c r="J29" s="2">
        <f>IFERROR(MIN(J26,J27)/J27,1)</f>
        <v/>
      </c>
      <c r="K29" s="2">
        <f>IFERROR(MIN(K26,K27)/K27,1)</f>
        <v/>
      </c>
      <c r="L29" s="2">
        <f>IFERROR(MIN(L26,L27)/L27,1)</f>
        <v/>
      </c>
      <c r="M29" s="2">
        <f>IFERROR(MIN(M26,M27)/M27,1)</f>
        <v/>
      </c>
      <c r="N29" s="2">
        <f>IFERROR(MIN(N26,N27)/N27,1)</f>
        <v/>
      </c>
      <c r="O29" s="2">
        <f>IFERROR(MIN(O26,O27)/O27,1)</f>
        <v/>
      </c>
      <c r="P29" s="2">
        <f>IFERROR(MIN(P26,P27)/P27,1)</f>
        <v/>
      </c>
      <c r="Q29" s="2">
        <f>IFERROR(MIN(Q26,Q27)/Q27,1)</f>
        <v/>
      </c>
    </row>
    <row r="30">
      <c r="A30" t="inlineStr"/>
      <c r="B30" t="inlineStr"/>
      <c r="C30" t="inlineStr">
        <is>
          <t>DC</t>
        </is>
      </c>
      <c r="D30" t="inlineStr">
        <is>
          <t>ESTN%</t>
        </is>
      </c>
      <c r="E30" t="inlineStr"/>
      <c r="F30" s="2">
        <f>MAX(F26-F28,0)/F28</f>
        <v/>
      </c>
      <c r="G30" s="2">
        <f>MAX(G26-G28,0)/G28</f>
        <v/>
      </c>
      <c r="H30" s="2">
        <f>MAX(H26-H28,0)/H28</f>
        <v/>
      </c>
      <c r="I30" s="2">
        <f>MAX(I26-I28,0)/I28</f>
        <v/>
      </c>
      <c r="J30" s="2">
        <f>MAX(J26-J28,0)/J28</f>
        <v/>
      </c>
      <c r="K30" s="2">
        <f>MAX(K26-K28,0)/K28</f>
        <v/>
      </c>
      <c r="L30" s="2">
        <f>MAX(L26-L28,0)/L28</f>
        <v/>
      </c>
      <c r="M30" s="2">
        <f>MAX(M26-M28,0)/M28</f>
        <v/>
      </c>
      <c r="N30" s="2">
        <f>MAX(N26-N28,0)/N28</f>
        <v/>
      </c>
      <c r="O30" s="2">
        <f>MAX(O26-O28,0)/O28</f>
        <v/>
      </c>
      <c r="P30" s="2">
        <f>MAX(P26-P28,0)/P28</f>
        <v/>
      </c>
      <c r="Q30" s="2">
        <f>MAX(Q26-Q28,0)/Q28</f>
        <v/>
      </c>
    </row>
    <row r="31">
      <c r="A31" t="inlineStr"/>
      <c r="B31" t="inlineStr"/>
      <c r="C31" t="inlineStr">
        <is>
          <t>DC</t>
        </is>
      </c>
      <c r="D31" t="inlineStr">
        <is>
          <t>Shortage</t>
        </is>
      </c>
      <c r="E31" t="inlineStr">
        <is>
          <t>Inv</t>
        </is>
      </c>
      <c r="F31">
        <f>MAX(0,F27-F26)</f>
        <v/>
      </c>
      <c r="G31">
        <f>MAX(0,G27-G26)</f>
        <v/>
      </c>
      <c r="H31">
        <f>MAX(0,H27-H26)</f>
        <v/>
      </c>
      <c r="I31">
        <f>MAX(0,I27-I26)</f>
        <v/>
      </c>
      <c r="J31">
        <f>MAX(0,J27-J26)</f>
        <v/>
      </c>
      <c r="K31">
        <f>MAX(0,K27-K26)</f>
        <v/>
      </c>
      <c r="L31">
        <f>MAX(0,L27-L26)</f>
        <v/>
      </c>
      <c r="M31">
        <f>MAX(0,M27-M26)</f>
        <v/>
      </c>
      <c r="N31">
        <f>MAX(0,N27-N26)</f>
        <v/>
      </c>
      <c r="O31">
        <f>MAX(0,O27-O26)</f>
        <v/>
      </c>
      <c r="P31">
        <f>MAX(0,P27-P26)</f>
        <v/>
      </c>
      <c r="Q31">
        <f>MAX(0,Q27-Q26)</f>
        <v/>
      </c>
    </row>
    <row r="32">
      <c r="A32" t="inlineStr"/>
      <c r="B32" t="inlineStr"/>
      <c r="C32" t="inlineStr">
        <is>
          <t>DC</t>
        </is>
      </c>
      <c r="D32" t="inlineStr">
        <is>
          <t>Excess</t>
        </is>
      </c>
      <c r="E32" t="inlineStr">
        <is>
          <t>Inv</t>
        </is>
      </c>
      <c r="F32">
        <f>MAX(0,F26-F28)</f>
        <v/>
      </c>
      <c r="G32">
        <f>MAX(0,G26-G28)</f>
        <v/>
      </c>
      <c r="H32">
        <f>MAX(0,H26-H28)</f>
        <v/>
      </c>
      <c r="I32">
        <f>MAX(0,I26-I28)</f>
        <v/>
      </c>
      <c r="J32">
        <f>MAX(0,J26-J28)</f>
        <v/>
      </c>
      <c r="K32">
        <f>MAX(0,K26-K28)</f>
        <v/>
      </c>
      <c r="L32">
        <f>MAX(0,L26-L28)</f>
        <v/>
      </c>
      <c r="M32">
        <f>MAX(0,M26-M28)</f>
        <v/>
      </c>
      <c r="N32">
        <f>MAX(0,N26-N28)</f>
        <v/>
      </c>
      <c r="O32">
        <f>MAX(0,O26-O28)</f>
        <v/>
      </c>
      <c r="P32">
        <f>MAX(0,P26-P28)</f>
        <v/>
      </c>
      <c r="Q32">
        <f>MAX(0,Q26-Q28)</f>
        <v/>
      </c>
    </row>
    <row r="33">
      <c r="A33" t="inlineStr"/>
      <c r="B33" t="inlineStr"/>
      <c r="C33" t="inlineStr">
        <is>
          <t>DC</t>
        </is>
      </c>
      <c r="D33" t="inlineStr">
        <is>
          <t>Out of stock Value($)</t>
        </is>
      </c>
      <c r="E33" t="inlineStr">
        <is>
          <t>Val</t>
        </is>
      </c>
    </row>
    <row r="34">
      <c r="A34" t="inlineStr"/>
      <c r="B34" t="inlineStr"/>
      <c r="C34" t="inlineStr">
        <is>
          <t>DC</t>
        </is>
      </c>
      <c r="D34" t="inlineStr">
        <is>
          <t>Excess and over($)</t>
        </is>
      </c>
      <c r="E34" t="inlineStr">
        <is>
          <t>Val</t>
        </is>
      </c>
    </row>
    <row r="35"/>
    <row r="36">
      <c r="A36" t="inlineStr">
        <is>
          <t>SKU_0001</t>
        </is>
      </c>
      <c r="B36" t="inlineStr">
        <is>
          <t>DC4</t>
        </is>
      </c>
      <c r="C36" t="inlineStr">
        <is>
          <t>DC</t>
        </is>
      </c>
      <c r="D36" t="inlineStr">
        <is>
          <t>Start Inventory</t>
        </is>
      </c>
      <c r="E36" t="inlineStr">
        <is>
          <t>Inv</t>
        </is>
      </c>
      <c r="F36" t="n">
        <v>169</v>
      </c>
      <c r="G36">
        <f>F43</f>
        <v/>
      </c>
      <c r="H36">
        <f>G43</f>
        <v/>
      </c>
      <c r="I36">
        <f>H43</f>
        <v/>
      </c>
      <c r="J36">
        <f>I43</f>
        <v/>
      </c>
      <c r="K36">
        <f>J43</f>
        <v/>
      </c>
      <c r="L36">
        <f>K43</f>
        <v/>
      </c>
      <c r="M36">
        <f>L43</f>
        <v/>
      </c>
      <c r="N36">
        <f>M43</f>
        <v/>
      </c>
      <c r="O36">
        <f>N43</f>
        <v/>
      </c>
      <c r="P36">
        <f>O43</f>
        <v/>
      </c>
      <c r="Q36">
        <f>P43</f>
        <v/>
      </c>
    </row>
    <row r="37">
      <c r="A37" t="inlineStr"/>
      <c r="B37" t="inlineStr"/>
      <c r="C37" t="inlineStr">
        <is>
          <t>DC</t>
        </is>
      </c>
      <c r="D37" t="inlineStr">
        <is>
          <t>Total Forecast/Order</t>
        </is>
      </c>
      <c r="E37" t="inlineStr">
        <is>
          <t>Demand</t>
        </is>
      </c>
      <c r="F37" t="n">
        <v>18</v>
      </c>
      <c r="G37" t="n">
        <v>17</v>
      </c>
      <c r="H37" t="n">
        <v>22</v>
      </c>
      <c r="I37" t="n">
        <v>12</v>
      </c>
      <c r="J37" t="n">
        <v>14</v>
      </c>
      <c r="K37" t="n">
        <v>15</v>
      </c>
      <c r="L37" t="n">
        <v>20</v>
      </c>
      <c r="M37" t="n">
        <v>13</v>
      </c>
      <c r="N37" t="n">
        <v>16</v>
      </c>
      <c r="O37" t="n">
        <v>14</v>
      </c>
      <c r="P37" t="n">
        <v>18</v>
      </c>
      <c r="Q37" t="n">
        <v>22</v>
      </c>
    </row>
    <row r="38">
      <c r="A38" t="inlineStr"/>
      <c r="B38" t="inlineStr"/>
      <c r="C38" t="inlineStr">
        <is>
          <t>DC</t>
        </is>
      </c>
      <c r="D38" t="inlineStr">
        <is>
          <t>Start Backorder</t>
        </is>
      </c>
      <c r="E38" t="inlineStr">
        <is>
          <t>Demand</t>
        </is>
      </c>
      <c r="F38" t="n">
        <v>0</v>
      </c>
      <c r="G38">
        <f>F42</f>
        <v/>
      </c>
      <c r="H38">
        <f>G42</f>
        <v/>
      </c>
      <c r="I38">
        <f>H42</f>
        <v/>
      </c>
      <c r="J38">
        <f>I42</f>
        <v/>
      </c>
      <c r="K38">
        <f>J42</f>
        <v/>
      </c>
      <c r="L38">
        <f>K42</f>
        <v/>
      </c>
      <c r="M38">
        <f>L42</f>
        <v/>
      </c>
      <c r="N38">
        <f>M42</f>
        <v/>
      </c>
      <c r="O38">
        <f>N42</f>
        <v/>
      </c>
      <c r="P38">
        <f>O42</f>
        <v/>
      </c>
      <c r="Q38">
        <f>P42</f>
        <v/>
      </c>
    </row>
    <row r="39">
      <c r="A39" t="inlineStr"/>
      <c r="B39" t="inlineStr"/>
      <c r="C39" t="inlineStr">
        <is>
          <t>DC</t>
        </is>
      </c>
      <c r="D39" t="inlineStr">
        <is>
          <t>Total Demand</t>
        </is>
      </c>
      <c r="E39" t="inlineStr">
        <is>
          <t>Demand</t>
        </is>
      </c>
      <c r="F39">
        <f>F37+F38</f>
        <v/>
      </c>
      <c r="G39">
        <f>G37+G38</f>
        <v/>
      </c>
      <c r="H39">
        <f>H37+H38</f>
        <v/>
      </c>
      <c r="I39">
        <f>I37+I38</f>
        <v/>
      </c>
      <c r="J39">
        <f>J37+J38</f>
        <v/>
      </c>
      <c r="K39">
        <f>K37+K38</f>
        <v/>
      </c>
      <c r="L39">
        <f>L37+L38</f>
        <v/>
      </c>
      <c r="M39">
        <f>M37+M38</f>
        <v/>
      </c>
      <c r="N39">
        <f>N37+N38</f>
        <v/>
      </c>
      <c r="O39">
        <f>O37+O38</f>
        <v/>
      </c>
      <c r="P39">
        <f>P37+P38</f>
        <v/>
      </c>
      <c r="Q39">
        <f>Q37+Q38</f>
        <v/>
      </c>
    </row>
    <row r="40">
      <c r="A40" t="inlineStr"/>
      <c r="B40" t="inlineStr"/>
      <c r="C40" t="inlineStr">
        <is>
          <t>DC</t>
        </is>
      </c>
      <c r="D40" t="inlineStr">
        <is>
          <t>Dist. Receipt Planned</t>
        </is>
      </c>
      <c r="E40" t="inlineStr">
        <is>
          <t>Supply</t>
        </is>
      </c>
      <c r="F40" t="n">
        <v>44</v>
      </c>
      <c r="G40" t="n">
        <v>0</v>
      </c>
      <c r="H40" t="n">
        <v>0</v>
      </c>
      <c r="I40" t="n">
        <v>48</v>
      </c>
      <c r="J40" t="n">
        <v>42</v>
      </c>
      <c r="K40" t="n">
        <v>0</v>
      </c>
      <c r="L40" t="n">
        <v>45</v>
      </c>
      <c r="M40" t="n">
        <v>0</v>
      </c>
      <c r="N40" t="n">
        <v>51</v>
      </c>
      <c r="O40" t="n">
        <v>0</v>
      </c>
      <c r="P40" t="n">
        <v>0</v>
      </c>
      <c r="Q40" t="n">
        <v>0</v>
      </c>
    </row>
    <row r="41">
      <c r="A41" t="inlineStr"/>
      <c r="B41" t="inlineStr"/>
      <c r="C41" t="inlineStr">
        <is>
          <t>DC</t>
        </is>
      </c>
      <c r="D41" t="inlineStr">
        <is>
          <t>Total Supply</t>
        </is>
      </c>
      <c r="E41" t="inlineStr">
        <is>
          <t>Supply</t>
        </is>
      </c>
      <c r="F41">
        <f>F40</f>
        <v/>
      </c>
      <c r="G41">
        <f>G40</f>
        <v/>
      </c>
      <c r="H41">
        <f>H40</f>
        <v/>
      </c>
      <c r="I41">
        <f>I40</f>
        <v/>
      </c>
      <c r="J41">
        <f>J40</f>
        <v/>
      </c>
      <c r="K41">
        <f>K40</f>
        <v/>
      </c>
      <c r="L41">
        <f>L40</f>
        <v/>
      </c>
      <c r="M41">
        <f>M40</f>
        <v/>
      </c>
      <c r="N41">
        <f>N40</f>
        <v/>
      </c>
      <c r="O41">
        <f>O40</f>
        <v/>
      </c>
      <c r="P41">
        <f>P40</f>
        <v/>
      </c>
      <c r="Q41">
        <f>Q40</f>
        <v/>
      </c>
    </row>
    <row r="42">
      <c r="A42" t="inlineStr"/>
      <c r="B42" t="inlineStr"/>
      <c r="C42" t="inlineStr">
        <is>
          <t>DC</t>
        </is>
      </c>
      <c r="D42" t="inlineStr">
        <is>
          <t>End. Backorder</t>
        </is>
      </c>
      <c r="E42" t="inlineStr">
        <is>
          <t>Demand</t>
        </is>
      </c>
      <c r="F42">
        <f>-MIN(0,F36+F41-F39)</f>
        <v/>
      </c>
      <c r="G42">
        <f>-MIN(0,G36+G41-G39)</f>
        <v/>
      </c>
      <c r="H42">
        <f>-MIN(0,H36+H41-H39)</f>
        <v/>
      </c>
      <c r="I42">
        <f>-MIN(0,I36+I41-I39)</f>
        <v/>
      </c>
      <c r="J42">
        <f>-MIN(0,J36+J41-J39)</f>
        <v/>
      </c>
      <c r="K42">
        <f>-MIN(0,K36+K41-K39)</f>
        <v/>
      </c>
      <c r="L42">
        <f>-MIN(0,L36+L41-L39)</f>
        <v/>
      </c>
      <c r="M42">
        <f>-MIN(0,M36+M41-M39)</f>
        <v/>
      </c>
      <c r="N42">
        <f>-MIN(0,N36+N41-N39)</f>
        <v/>
      </c>
      <c r="O42">
        <f>-MIN(0,O36+O41-O39)</f>
        <v/>
      </c>
      <c r="P42">
        <f>-MIN(0,P36+P41-P39)</f>
        <v/>
      </c>
      <c r="Q42">
        <f>-MIN(0,Q36+Q41-Q39)</f>
        <v/>
      </c>
    </row>
    <row r="43">
      <c r="A43" t="inlineStr"/>
      <c r="B43" t="inlineStr"/>
      <c r="C43" t="inlineStr">
        <is>
          <t>DC</t>
        </is>
      </c>
      <c r="D43" t="inlineStr">
        <is>
          <t>End. Inventory</t>
        </is>
      </c>
      <c r="E43" t="inlineStr">
        <is>
          <t>Inv</t>
        </is>
      </c>
      <c r="F43">
        <f>MAX(F36+F41-F39,0)</f>
        <v/>
      </c>
      <c r="G43">
        <f>MAX(G36+G41-G39,0)</f>
        <v/>
      </c>
      <c r="H43">
        <f>MAX(H36+H41-H39,0)</f>
        <v/>
      </c>
      <c r="I43">
        <f>MAX(I36+I41-I39,0)</f>
        <v/>
      </c>
      <c r="J43">
        <f>MAX(J36+J41-J39,0)</f>
        <v/>
      </c>
      <c r="K43">
        <f>MAX(K36+K41-K39,0)</f>
        <v/>
      </c>
      <c r="L43">
        <f>MAX(L36+L41-L39,0)</f>
        <v/>
      </c>
      <c r="M43">
        <f>MAX(M36+M41-M39,0)</f>
        <v/>
      </c>
      <c r="N43">
        <f>MAX(N36+N41-N39,0)</f>
        <v/>
      </c>
      <c r="O43">
        <f>MAX(O36+O41-O39,0)</f>
        <v/>
      </c>
      <c r="P43">
        <f>MAX(P36+P41-P39,0)</f>
        <v/>
      </c>
      <c r="Q43">
        <f>MAX(Q36+Q41-Q39,0)</f>
        <v/>
      </c>
    </row>
    <row r="44">
      <c r="A44" t="inlineStr"/>
      <c r="B44" t="inlineStr"/>
      <c r="C44" t="inlineStr">
        <is>
          <t>DC</t>
        </is>
      </c>
      <c r="D44" t="inlineStr">
        <is>
          <t>MSTN Thresold</t>
        </is>
      </c>
      <c r="E44" t="inlineStr">
        <is>
          <t>Inv</t>
        </is>
      </c>
      <c r="F44" t="n">
        <v>71</v>
      </c>
      <c r="G44" t="n">
        <v>71</v>
      </c>
      <c r="H44" t="n">
        <v>71</v>
      </c>
      <c r="I44" t="n">
        <v>71</v>
      </c>
      <c r="J44" t="n">
        <v>71</v>
      </c>
      <c r="K44" t="n">
        <v>71</v>
      </c>
      <c r="L44" t="n">
        <v>71</v>
      </c>
      <c r="M44" t="n">
        <v>71</v>
      </c>
      <c r="N44" t="n">
        <v>71</v>
      </c>
      <c r="O44" t="n">
        <v>71</v>
      </c>
      <c r="P44" t="n">
        <v>71</v>
      </c>
      <c r="Q44" t="n">
        <v>71</v>
      </c>
    </row>
    <row r="45">
      <c r="A45" t="inlineStr"/>
      <c r="B45" t="inlineStr"/>
      <c r="C45" t="inlineStr">
        <is>
          <t>DC</t>
        </is>
      </c>
      <c r="D45" t="inlineStr">
        <is>
          <t>ESTN Thresold</t>
        </is>
      </c>
      <c r="E45" t="inlineStr">
        <is>
          <t>Inv</t>
        </is>
      </c>
      <c r="F45" t="n">
        <v>143</v>
      </c>
      <c r="G45" t="n">
        <v>143</v>
      </c>
      <c r="H45" t="n">
        <v>143</v>
      </c>
      <c r="I45" t="n">
        <v>143</v>
      </c>
      <c r="J45" t="n">
        <v>143</v>
      </c>
      <c r="K45" t="n">
        <v>143</v>
      </c>
      <c r="L45" t="n">
        <v>143</v>
      </c>
      <c r="M45" t="n">
        <v>143</v>
      </c>
      <c r="N45" t="n">
        <v>143</v>
      </c>
      <c r="O45" t="n">
        <v>143</v>
      </c>
      <c r="P45" t="n">
        <v>143</v>
      </c>
      <c r="Q45" t="n">
        <v>143</v>
      </c>
    </row>
    <row r="46">
      <c r="A46" t="inlineStr"/>
      <c r="B46" t="inlineStr"/>
      <c r="C46" t="inlineStr">
        <is>
          <t>DC</t>
        </is>
      </c>
      <c r="D46" t="inlineStr">
        <is>
          <t>MSTN%</t>
        </is>
      </c>
      <c r="E46" t="inlineStr"/>
      <c r="F46" s="2">
        <f>IFERROR(MIN(F43,F44)/F44,1)</f>
        <v/>
      </c>
      <c r="G46" s="2">
        <f>IFERROR(MIN(G43,G44)/G44,1)</f>
        <v/>
      </c>
      <c r="H46" s="2">
        <f>IFERROR(MIN(H43,H44)/H44,1)</f>
        <v/>
      </c>
      <c r="I46" s="2">
        <f>IFERROR(MIN(I43,I44)/I44,1)</f>
        <v/>
      </c>
      <c r="J46" s="2">
        <f>IFERROR(MIN(J43,J44)/J44,1)</f>
        <v/>
      </c>
      <c r="K46" s="2">
        <f>IFERROR(MIN(K43,K44)/K44,1)</f>
        <v/>
      </c>
      <c r="L46" s="2">
        <f>IFERROR(MIN(L43,L44)/L44,1)</f>
        <v/>
      </c>
      <c r="M46" s="2">
        <f>IFERROR(MIN(M43,M44)/M44,1)</f>
        <v/>
      </c>
      <c r="N46" s="2">
        <f>IFERROR(MIN(N43,N44)/N44,1)</f>
        <v/>
      </c>
      <c r="O46" s="2">
        <f>IFERROR(MIN(O43,O44)/O44,1)</f>
        <v/>
      </c>
      <c r="P46" s="2">
        <f>IFERROR(MIN(P43,P44)/P44,1)</f>
        <v/>
      </c>
      <c r="Q46" s="2">
        <f>IFERROR(MIN(Q43,Q44)/Q44,1)</f>
        <v/>
      </c>
    </row>
    <row r="47">
      <c r="A47" t="inlineStr"/>
      <c r="B47" t="inlineStr"/>
      <c r="C47" t="inlineStr">
        <is>
          <t>DC</t>
        </is>
      </c>
      <c r="D47" t="inlineStr">
        <is>
          <t>ESTN%</t>
        </is>
      </c>
      <c r="E47" t="inlineStr"/>
      <c r="F47" s="2">
        <f>MAX(F43-F45,0)/F45</f>
        <v/>
      </c>
      <c r="G47" s="2">
        <f>MAX(G43-G45,0)/G45</f>
        <v/>
      </c>
      <c r="H47" s="2">
        <f>MAX(H43-H45,0)/H45</f>
        <v/>
      </c>
      <c r="I47" s="2">
        <f>MAX(I43-I45,0)/I45</f>
        <v/>
      </c>
      <c r="J47" s="2">
        <f>MAX(J43-J45,0)/J45</f>
        <v/>
      </c>
      <c r="K47" s="2">
        <f>MAX(K43-K45,0)/K45</f>
        <v/>
      </c>
      <c r="L47" s="2">
        <f>MAX(L43-L45,0)/L45</f>
        <v/>
      </c>
      <c r="M47" s="2">
        <f>MAX(M43-M45,0)/M45</f>
        <v/>
      </c>
      <c r="N47" s="2">
        <f>MAX(N43-N45,0)/N45</f>
        <v/>
      </c>
      <c r="O47" s="2">
        <f>MAX(O43-O45,0)/O45</f>
        <v/>
      </c>
      <c r="P47" s="2">
        <f>MAX(P43-P45,0)/P45</f>
        <v/>
      </c>
      <c r="Q47" s="2">
        <f>MAX(Q43-Q45,0)/Q45</f>
        <v/>
      </c>
    </row>
    <row r="48">
      <c r="A48" t="inlineStr"/>
      <c r="B48" t="inlineStr"/>
      <c r="C48" t="inlineStr">
        <is>
          <t>DC</t>
        </is>
      </c>
      <c r="D48" t="inlineStr">
        <is>
          <t>Shortage</t>
        </is>
      </c>
      <c r="E48" t="inlineStr">
        <is>
          <t>Inv</t>
        </is>
      </c>
      <c r="F48">
        <f>MAX(0,F44-F43)</f>
        <v/>
      </c>
      <c r="G48">
        <f>MAX(0,G44-G43)</f>
        <v/>
      </c>
      <c r="H48">
        <f>MAX(0,H44-H43)</f>
        <v/>
      </c>
      <c r="I48">
        <f>MAX(0,I44-I43)</f>
        <v/>
      </c>
      <c r="J48">
        <f>MAX(0,J44-J43)</f>
        <v/>
      </c>
      <c r="K48">
        <f>MAX(0,K44-K43)</f>
        <v/>
      </c>
      <c r="L48">
        <f>MAX(0,L44-L43)</f>
        <v/>
      </c>
      <c r="M48">
        <f>MAX(0,M44-M43)</f>
        <v/>
      </c>
      <c r="N48">
        <f>MAX(0,N44-N43)</f>
        <v/>
      </c>
      <c r="O48">
        <f>MAX(0,O44-O43)</f>
        <v/>
      </c>
      <c r="P48">
        <f>MAX(0,P44-P43)</f>
        <v/>
      </c>
      <c r="Q48">
        <f>MAX(0,Q44-Q43)</f>
        <v/>
      </c>
    </row>
    <row r="49">
      <c r="A49" t="inlineStr"/>
      <c r="B49" t="inlineStr"/>
      <c r="C49" t="inlineStr">
        <is>
          <t>DC</t>
        </is>
      </c>
      <c r="D49" t="inlineStr">
        <is>
          <t>Excess</t>
        </is>
      </c>
      <c r="E49" t="inlineStr">
        <is>
          <t>Inv</t>
        </is>
      </c>
      <c r="F49">
        <f>MAX(0,F43-F45)</f>
        <v/>
      </c>
      <c r="G49">
        <f>MAX(0,G43-G45)</f>
        <v/>
      </c>
      <c r="H49">
        <f>MAX(0,H43-H45)</f>
        <v/>
      </c>
      <c r="I49">
        <f>MAX(0,I43-I45)</f>
        <v/>
      </c>
      <c r="J49">
        <f>MAX(0,J43-J45)</f>
        <v/>
      </c>
      <c r="K49">
        <f>MAX(0,K43-K45)</f>
        <v/>
      </c>
      <c r="L49">
        <f>MAX(0,L43-L45)</f>
        <v/>
      </c>
      <c r="M49">
        <f>MAX(0,M43-M45)</f>
        <v/>
      </c>
      <c r="N49">
        <f>MAX(0,N43-N45)</f>
        <v/>
      </c>
      <c r="O49">
        <f>MAX(0,O43-O45)</f>
        <v/>
      </c>
      <c r="P49">
        <f>MAX(0,P43-P45)</f>
        <v/>
      </c>
      <c r="Q49">
        <f>MAX(0,Q43-Q45)</f>
        <v/>
      </c>
    </row>
    <row r="50">
      <c r="A50" t="inlineStr"/>
      <c r="B50" t="inlineStr"/>
      <c r="C50" t="inlineStr">
        <is>
          <t>DC</t>
        </is>
      </c>
      <c r="D50" t="inlineStr">
        <is>
          <t>Out of stock Value($)</t>
        </is>
      </c>
      <c r="E50" t="inlineStr">
        <is>
          <t>Val</t>
        </is>
      </c>
    </row>
    <row r="51">
      <c r="A51" t="inlineStr"/>
      <c r="B51" t="inlineStr"/>
      <c r="C51" t="inlineStr">
        <is>
          <t>DC</t>
        </is>
      </c>
      <c r="D51" t="inlineStr">
        <is>
          <t>Excess and over($)</t>
        </is>
      </c>
      <c r="E51" t="inlineStr">
        <is>
          <t>Val</t>
        </is>
      </c>
    </row>
    <row r="52"/>
    <row r="53">
      <c r="A53" t="inlineStr">
        <is>
          <t>SKU_0001</t>
        </is>
      </c>
      <c r="B53" t="inlineStr">
        <is>
          <t>DC5</t>
        </is>
      </c>
      <c r="C53" t="inlineStr">
        <is>
          <t>DC</t>
        </is>
      </c>
      <c r="D53" t="inlineStr">
        <is>
          <t>Start Inventory</t>
        </is>
      </c>
      <c r="E53" t="inlineStr">
        <is>
          <t>Inv</t>
        </is>
      </c>
      <c r="F53" t="n">
        <v>189</v>
      </c>
      <c r="G53">
        <f>F60</f>
        <v/>
      </c>
      <c r="H53">
        <f>G60</f>
        <v/>
      </c>
      <c r="I53">
        <f>H60</f>
        <v/>
      </c>
      <c r="J53">
        <f>I60</f>
        <v/>
      </c>
      <c r="K53">
        <f>J60</f>
        <v/>
      </c>
      <c r="L53">
        <f>K60</f>
        <v/>
      </c>
      <c r="M53">
        <f>L60</f>
        <v/>
      </c>
      <c r="N53">
        <f>M60</f>
        <v/>
      </c>
      <c r="O53">
        <f>N60</f>
        <v/>
      </c>
      <c r="P53">
        <f>O60</f>
        <v/>
      </c>
      <c r="Q53">
        <f>P60</f>
        <v/>
      </c>
    </row>
    <row r="54">
      <c r="A54" t="inlineStr"/>
      <c r="B54" t="inlineStr"/>
      <c r="C54" t="inlineStr">
        <is>
          <t>DC</t>
        </is>
      </c>
      <c r="D54" t="inlineStr">
        <is>
          <t>Total Forecast/Order</t>
        </is>
      </c>
      <c r="E54" t="inlineStr">
        <is>
          <t>Demand</t>
        </is>
      </c>
      <c r="F54" t="n">
        <v>42</v>
      </c>
      <c r="G54" t="n">
        <v>73</v>
      </c>
      <c r="H54" t="n">
        <v>66</v>
      </c>
      <c r="I54" t="n">
        <v>73</v>
      </c>
      <c r="J54" t="n">
        <v>61</v>
      </c>
      <c r="K54" t="n">
        <v>44</v>
      </c>
      <c r="L54" t="n">
        <v>50</v>
      </c>
      <c r="M54" t="n">
        <v>45</v>
      </c>
      <c r="N54" t="n">
        <v>48</v>
      </c>
      <c r="O54" t="n">
        <v>60</v>
      </c>
      <c r="P54" t="n">
        <v>62</v>
      </c>
      <c r="Q54" t="n">
        <v>69</v>
      </c>
    </row>
    <row r="55">
      <c r="A55" t="inlineStr"/>
      <c r="B55" t="inlineStr"/>
      <c r="C55" t="inlineStr">
        <is>
          <t>DC</t>
        </is>
      </c>
      <c r="D55" t="inlineStr">
        <is>
          <t>Start Backorder</t>
        </is>
      </c>
      <c r="E55" t="inlineStr">
        <is>
          <t>Demand</t>
        </is>
      </c>
      <c r="F55" t="n">
        <v>0</v>
      </c>
      <c r="G55">
        <f>F59</f>
        <v/>
      </c>
      <c r="H55">
        <f>G59</f>
        <v/>
      </c>
      <c r="I55">
        <f>H59</f>
        <v/>
      </c>
      <c r="J55">
        <f>I59</f>
        <v/>
      </c>
      <c r="K55">
        <f>J59</f>
        <v/>
      </c>
      <c r="L55">
        <f>K59</f>
        <v/>
      </c>
      <c r="M55">
        <f>L59</f>
        <v/>
      </c>
      <c r="N55">
        <f>M59</f>
        <v/>
      </c>
      <c r="O55">
        <f>N59</f>
        <v/>
      </c>
      <c r="P55">
        <f>O59</f>
        <v/>
      </c>
      <c r="Q55">
        <f>P59</f>
        <v/>
      </c>
    </row>
    <row r="56">
      <c r="A56" t="inlineStr"/>
      <c r="B56" t="inlineStr"/>
      <c r="C56" t="inlineStr">
        <is>
          <t>DC</t>
        </is>
      </c>
      <c r="D56" t="inlineStr">
        <is>
          <t>Total Demand</t>
        </is>
      </c>
      <c r="E56" t="inlineStr">
        <is>
          <t>Demand</t>
        </is>
      </c>
      <c r="F56">
        <f>F54+F55</f>
        <v/>
      </c>
      <c r="G56">
        <f>G54+G55</f>
        <v/>
      </c>
      <c r="H56">
        <f>H54+H55</f>
        <v/>
      </c>
      <c r="I56">
        <f>I54+I55</f>
        <v/>
      </c>
      <c r="J56">
        <f>J54+J55</f>
        <v/>
      </c>
      <c r="K56">
        <f>K54+K55</f>
        <v/>
      </c>
      <c r="L56">
        <f>L54+L55</f>
        <v/>
      </c>
      <c r="M56">
        <f>M54+M55</f>
        <v/>
      </c>
      <c r="N56">
        <f>N54+N55</f>
        <v/>
      </c>
      <c r="O56">
        <f>O54+O55</f>
        <v/>
      </c>
      <c r="P56">
        <f>P54+P55</f>
        <v/>
      </c>
      <c r="Q56">
        <f>Q54+Q55</f>
        <v/>
      </c>
    </row>
    <row r="57">
      <c r="A57" t="inlineStr"/>
      <c r="B57" t="inlineStr"/>
      <c r="C57" t="inlineStr">
        <is>
          <t>DC</t>
        </is>
      </c>
      <c r="D57" t="inlineStr">
        <is>
          <t>Dist. Receipt Planned</t>
        </is>
      </c>
      <c r="E57" t="inlineStr">
        <is>
          <t>Supply</t>
        </is>
      </c>
      <c r="F57" t="n">
        <v>409</v>
      </c>
      <c r="G57" t="n">
        <v>0</v>
      </c>
      <c r="H57" t="n">
        <v>103</v>
      </c>
      <c r="I57" t="n">
        <v>0</v>
      </c>
      <c r="J57" t="n">
        <v>0</v>
      </c>
      <c r="K57" t="n">
        <v>152</v>
      </c>
      <c r="L57" t="n">
        <v>0</v>
      </c>
      <c r="M57" t="n">
        <v>0</v>
      </c>
      <c r="N57" t="n">
        <v>0</v>
      </c>
      <c r="O57" t="n">
        <v>0</v>
      </c>
      <c r="P57" t="n">
        <v>0</v>
      </c>
      <c r="Q57" t="n">
        <v>0</v>
      </c>
    </row>
    <row r="58">
      <c r="A58" t="inlineStr"/>
      <c r="B58" t="inlineStr"/>
      <c r="C58" t="inlineStr">
        <is>
          <t>DC</t>
        </is>
      </c>
      <c r="D58" t="inlineStr">
        <is>
          <t>Total Supply</t>
        </is>
      </c>
      <c r="E58" t="inlineStr">
        <is>
          <t>Supply</t>
        </is>
      </c>
      <c r="F58">
        <f>F57</f>
        <v/>
      </c>
      <c r="G58">
        <f>G57</f>
        <v/>
      </c>
      <c r="H58">
        <f>H57</f>
        <v/>
      </c>
      <c r="I58">
        <f>I57</f>
        <v/>
      </c>
      <c r="J58">
        <f>J57</f>
        <v/>
      </c>
      <c r="K58">
        <f>K57</f>
        <v/>
      </c>
      <c r="L58">
        <f>L57</f>
        <v/>
      </c>
      <c r="M58">
        <f>M57</f>
        <v/>
      </c>
      <c r="N58">
        <f>N57</f>
        <v/>
      </c>
      <c r="O58">
        <f>O57</f>
        <v/>
      </c>
      <c r="P58">
        <f>P57</f>
        <v/>
      </c>
      <c r="Q58">
        <f>Q57</f>
        <v/>
      </c>
    </row>
    <row r="59">
      <c r="A59" t="inlineStr"/>
      <c r="B59" t="inlineStr"/>
      <c r="C59" t="inlineStr">
        <is>
          <t>DC</t>
        </is>
      </c>
      <c r="D59" t="inlineStr">
        <is>
          <t>End. Backorder</t>
        </is>
      </c>
      <c r="E59" t="inlineStr">
        <is>
          <t>Demand</t>
        </is>
      </c>
      <c r="F59">
        <f>-MIN(0,F53+F58-F56)</f>
        <v/>
      </c>
      <c r="G59">
        <f>-MIN(0,G53+G58-G56)</f>
        <v/>
      </c>
      <c r="H59">
        <f>-MIN(0,H53+H58-H56)</f>
        <v/>
      </c>
      <c r="I59">
        <f>-MIN(0,I53+I58-I56)</f>
        <v/>
      </c>
      <c r="J59">
        <f>-MIN(0,J53+J58-J56)</f>
        <v/>
      </c>
      <c r="K59">
        <f>-MIN(0,K53+K58-K56)</f>
        <v/>
      </c>
      <c r="L59">
        <f>-MIN(0,L53+L58-L56)</f>
        <v/>
      </c>
      <c r="M59">
        <f>-MIN(0,M53+M58-M56)</f>
        <v/>
      </c>
      <c r="N59">
        <f>-MIN(0,N53+N58-N56)</f>
        <v/>
      </c>
      <c r="O59">
        <f>-MIN(0,O53+O58-O56)</f>
        <v/>
      </c>
      <c r="P59">
        <f>-MIN(0,P53+P58-P56)</f>
        <v/>
      </c>
      <c r="Q59">
        <f>-MIN(0,Q53+Q58-Q56)</f>
        <v/>
      </c>
    </row>
    <row r="60">
      <c r="A60" t="inlineStr"/>
      <c r="B60" t="inlineStr"/>
      <c r="C60" t="inlineStr">
        <is>
          <t>DC</t>
        </is>
      </c>
      <c r="D60" t="inlineStr">
        <is>
          <t>End. Inventory</t>
        </is>
      </c>
      <c r="E60" t="inlineStr">
        <is>
          <t>Inv</t>
        </is>
      </c>
      <c r="F60">
        <f>MAX(F53+F58-F56,0)</f>
        <v/>
      </c>
      <c r="G60">
        <f>MAX(G53+G58-G56,0)</f>
        <v/>
      </c>
      <c r="H60">
        <f>MAX(H53+H58-H56,0)</f>
        <v/>
      </c>
      <c r="I60">
        <f>MAX(I53+I58-I56,0)</f>
        <v/>
      </c>
      <c r="J60">
        <f>MAX(J53+J58-J56,0)</f>
        <v/>
      </c>
      <c r="K60">
        <f>MAX(K53+K58-K56,0)</f>
        <v/>
      </c>
      <c r="L60">
        <f>MAX(L53+L58-L56,0)</f>
        <v/>
      </c>
      <c r="M60">
        <f>MAX(M53+M58-M56,0)</f>
        <v/>
      </c>
      <c r="N60">
        <f>MAX(N53+N58-N56,0)</f>
        <v/>
      </c>
      <c r="O60">
        <f>MAX(O53+O58-O56,0)</f>
        <v/>
      </c>
      <c r="P60">
        <f>MAX(P53+P58-P56,0)</f>
        <v/>
      </c>
      <c r="Q60">
        <f>MAX(Q53+Q58-Q56,0)</f>
        <v/>
      </c>
    </row>
    <row r="61">
      <c r="A61" t="inlineStr"/>
      <c r="B61" t="inlineStr"/>
      <c r="C61" t="inlineStr">
        <is>
          <t>DC</t>
        </is>
      </c>
      <c r="D61" t="inlineStr">
        <is>
          <t>MSTN Thresold</t>
        </is>
      </c>
      <c r="E61" t="inlineStr">
        <is>
          <t>Inv</t>
        </is>
      </c>
      <c r="F61" t="n">
        <v>237</v>
      </c>
      <c r="G61" t="n">
        <v>237</v>
      </c>
      <c r="H61" t="n">
        <v>237</v>
      </c>
      <c r="I61" t="n">
        <v>237</v>
      </c>
      <c r="J61" t="n">
        <v>237</v>
      </c>
      <c r="K61" t="n">
        <v>237</v>
      </c>
      <c r="L61" t="n">
        <v>237</v>
      </c>
      <c r="M61" t="n">
        <v>237</v>
      </c>
      <c r="N61" t="n">
        <v>237</v>
      </c>
      <c r="O61" t="n">
        <v>237</v>
      </c>
      <c r="P61" t="n">
        <v>237</v>
      </c>
      <c r="Q61" t="n">
        <v>237</v>
      </c>
    </row>
    <row r="62">
      <c r="A62" t="inlineStr"/>
      <c r="B62" t="inlineStr"/>
      <c r="C62" t="inlineStr">
        <is>
          <t>DC</t>
        </is>
      </c>
      <c r="D62" t="inlineStr">
        <is>
          <t>ESTN Thresold</t>
        </is>
      </c>
      <c r="E62" t="inlineStr">
        <is>
          <t>Inv</t>
        </is>
      </c>
      <c r="F62" t="n">
        <v>647</v>
      </c>
      <c r="G62" t="n">
        <v>647</v>
      </c>
      <c r="H62" t="n">
        <v>647</v>
      </c>
      <c r="I62" t="n">
        <v>647</v>
      </c>
      <c r="J62" t="n">
        <v>647</v>
      </c>
      <c r="K62" t="n">
        <v>647</v>
      </c>
      <c r="L62" t="n">
        <v>647</v>
      </c>
      <c r="M62" t="n">
        <v>647</v>
      </c>
      <c r="N62" t="n">
        <v>647</v>
      </c>
      <c r="O62" t="n">
        <v>647</v>
      </c>
      <c r="P62" t="n">
        <v>647</v>
      </c>
      <c r="Q62" t="n">
        <v>647</v>
      </c>
    </row>
    <row r="63">
      <c r="A63" t="inlineStr"/>
      <c r="B63" t="inlineStr"/>
      <c r="C63" t="inlineStr">
        <is>
          <t>DC</t>
        </is>
      </c>
      <c r="D63" t="inlineStr">
        <is>
          <t>MSTN%</t>
        </is>
      </c>
      <c r="E63" t="inlineStr"/>
      <c r="F63" s="2">
        <f>IFERROR(MIN(F60,F61)/F61,1)</f>
        <v/>
      </c>
      <c r="G63" s="2">
        <f>IFERROR(MIN(G60,G61)/G61,1)</f>
        <v/>
      </c>
      <c r="H63" s="2">
        <f>IFERROR(MIN(H60,H61)/H61,1)</f>
        <v/>
      </c>
      <c r="I63" s="2">
        <f>IFERROR(MIN(I60,I61)/I61,1)</f>
        <v/>
      </c>
      <c r="J63" s="2">
        <f>IFERROR(MIN(J60,J61)/J61,1)</f>
        <v/>
      </c>
      <c r="K63" s="2">
        <f>IFERROR(MIN(K60,K61)/K61,1)</f>
        <v/>
      </c>
      <c r="L63" s="2">
        <f>IFERROR(MIN(L60,L61)/L61,1)</f>
        <v/>
      </c>
      <c r="M63" s="2">
        <f>IFERROR(MIN(M60,M61)/M61,1)</f>
        <v/>
      </c>
      <c r="N63" s="2">
        <f>IFERROR(MIN(N60,N61)/N61,1)</f>
        <v/>
      </c>
      <c r="O63" s="2">
        <f>IFERROR(MIN(O60,O61)/O61,1)</f>
        <v/>
      </c>
      <c r="P63" s="2">
        <f>IFERROR(MIN(P60,P61)/P61,1)</f>
        <v/>
      </c>
      <c r="Q63" s="2">
        <f>IFERROR(MIN(Q60,Q61)/Q61,1)</f>
        <v/>
      </c>
    </row>
    <row r="64">
      <c r="A64" t="inlineStr"/>
      <c r="B64" t="inlineStr"/>
      <c r="C64" t="inlineStr">
        <is>
          <t>DC</t>
        </is>
      </c>
      <c r="D64" t="inlineStr">
        <is>
          <t>ESTN%</t>
        </is>
      </c>
      <c r="E64" t="inlineStr"/>
      <c r="F64" s="2">
        <f>MAX(F60-F62,0)/F62</f>
        <v/>
      </c>
      <c r="G64" s="2">
        <f>MAX(G60-G62,0)/G62</f>
        <v/>
      </c>
      <c r="H64" s="2">
        <f>MAX(H60-H62,0)/H62</f>
        <v/>
      </c>
      <c r="I64" s="2">
        <f>MAX(I60-I62,0)/I62</f>
        <v/>
      </c>
      <c r="J64" s="2">
        <f>MAX(J60-J62,0)/J62</f>
        <v/>
      </c>
      <c r="K64" s="2">
        <f>MAX(K60-K62,0)/K62</f>
        <v/>
      </c>
      <c r="L64" s="2">
        <f>MAX(L60-L62,0)/L62</f>
        <v/>
      </c>
      <c r="M64" s="2">
        <f>MAX(M60-M62,0)/M62</f>
        <v/>
      </c>
      <c r="N64" s="2">
        <f>MAX(N60-N62,0)/N62</f>
        <v/>
      </c>
      <c r="O64" s="2">
        <f>MAX(O60-O62,0)/O62</f>
        <v/>
      </c>
      <c r="P64" s="2">
        <f>MAX(P60-P62,0)/P62</f>
        <v/>
      </c>
      <c r="Q64" s="2">
        <f>MAX(Q60-Q62,0)/Q62</f>
        <v/>
      </c>
    </row>
    <row r="65">
      <c r="A65" t="inlineStr"/>
      <c r="B65" t="inlineStr"/>
      <c r="C65" t="inlineStr">
        <is>
          <t>DC</t>
        </is>
      </c>
      <c r="D65" t="inlineStr">
        <is>
          <t>Shortage</t>
        </is>
      </c>
      <c r="E65" t="inlineStr">
        <is>
          <t>Inv</t>
        </is>
      </c>
      <c r="F65">
        <f>MAX(0,F61-F60)</f>
        <v/>
      </c>
      <c r="G65">
        <f>MAX(0,G61-G60)</f>
        <v/>
      </c>
      <c r="H65">
        <f>MAX(0,H61-H60)</f>
        <v/>
      </c>
      <c r="I65">
        <f>MAX(0,I61-I60)</f>
        <v/>
      </c>
      <c r="J65">
        <f>MAX(0,J61-J60)</f>
        <v/>
      </c>
      <c r="K65">
        <f>MAX(0,K61-K60)</f>
        <v/>
      </c>
      <c r="L65">
        <f>MAX(0,L61-L60)</f>
        <v/>
      </c>
      <c r="M65">
        <f>MAX(0,M61-M60)</f>
        <v/>
      </c>
      <c r="N65">
        <f>MAX(0,N61-N60)</f>
        <v/>
      </c>
      <c r="O65">
        <f>MAX(0,O61-O60)</f>
        <v/>
      </c>
      <c r="P65">
        <f>MAX(0,P61-P60)</f>
        <v/>
      </c>
      <c r="Q65">
        <f>MAX(0,Q61-Q60)</f>
        <v/>
      </c>
    </row>
    <row r="66">
      <c r="A66" t="inlineStr"/>
      <c r="B66" t="inlineStr"/>
      <c r="C66" t="inlineStr">
        <is>
          <t>DC</t>
        </is>
      </c>
      <c r="D66" t="inlineStr">
        <is>
          <t>Excess</t>
        </is>
      </c>
      <c r="E66" t="inlineStr">
        <is>
          <t>Inv</t>
        </is>
      </c>
      <c r="F66">
        <f>MAX(0,F60-F62)</f>
        <v/>
      </c>
      <c r="G66">
        <f>MAX(0,G60-G62)</f>
        <v/>
      </c>
      <c r="H66">
        <f>MAX(0,H60-H62)</f>
        <v/>
      </c>
      <c r="I66">
        <f>MAX(0,I60-I62)</f>
        <v/>
      </c>
      <c r="J66">
        <f>MAX(0,J60-J62)</f>
        <v/>
      </c>
      <c r="K66">
        <f>MAX(0,K60-K62)</f>
        <v/>
      </c>
      <c r="L66">
        <f>MAX(0,L60-L62)</f>
        <v/>
      </c>
      <c r="M66">
        <f>MAX(0,M60-M62)</f>
        <v/>
      </c>
      <c r="N66">
        <f>MAX(0,N60-N62)</f>
        <v/>
      </c>
      <c r="O66">
        <f>MAX(0,O60-O62)</f>
        <v/>
      </c>
      <c r="P66">
        <f>MAX(0,P60-P62)</f>
        <v/>
      </c>
      <c r="Q66">
        <f>MAX(0,Q60-Q62)</f>
        <v/>
      </c>
    </row>
    <row r="67">
      <c r="A67" t="inlineStr"/>
      <c r="B67" t="inlineStr"/>
      <c r="C67" t="inlineStr">
        <is>
          <t>DC</t>
        </is>
      </c>
      <c r="D67" t="inlineStr">
        <is>
          <t>Out of stock Value($)</t>
        </is>
      </c>
      <c r="E67" t="inlineStr">
        <is>
          <t>Val</t>
        </is>
      </c>
    </row>
    <row r="68">
      <c r="A68" t="inlineStr"/>
      <c r="B68" t="inlineStr"/>
      <c r="C68" t="inlineStr">
        <is>
          <t>DC</t>
        </is>
      </c>
      <c r="D68" t="inlineStr">
        <is>
          <t>Excess and over($)</t>
        </is>
      </c>
      <c r="E68" t="inlineStr">
        <is>
          <t>Val</t>
        </is>
      </c>
    </row>
    <row r="69"/>
    <row r="70">
      <c r="A70" t="inlineStr">
        <is>
          <t>SKU_0001</t>
        </is>
      </c>
      <c r="B70" t="inlineStr">
        <is>
          <t>F1</t>
        </is>
      </c>
      <c r="C70" t="inlineStr">
        <is>
          <t>DC</t>
        </is>
      </c>
      <c r="D70" t="inlineStr">
        <is>
          <t>Start Inventory</t>
        </is>
      </c>
      <c r="E70" t="inlineStr">
        <is>
          <t>Inv</t>
        </is>
      </c>
      <c r="F70" t="n">
        <v>1481</v>
      </c>
      <c r="G70">
        <f>F77</f>
        <v/>
      </c>
      <c r="H70">
        <f>G77</f>
        <v/>
      </c>
      <c r="I70">
        <f>H77</f>
        <v/>
      </c>
      <c r="J70">
        <f>I77</f>
        <v/>
      </c>
      <c r="K70">
        <f>J77</f>
        <v/>
      </c>
      <c r="L70">
        <f>K77</f>
        <v/>
      </c>
      <c r="M70">
        <f>L77</f>
        <v/>
      </c>
      <c r="N70">
        <f>M77</f>
        <v/>
      </c>
      <c r="O70">
        <f>N77</f>
        <v/>
      </c>
      <c r="P70">
        <f>O77</f>
        <v/>
      </c>
      <c r="Q70">
        <f>P77</f>
        <v/>
      </c>
    </row>
    <row r="71">
      <c r="A71" t="inlineStr"/>
      <c r="B71" t="inlineStr"/>
      <c r="C71" t="inlineStr">
        <is>
          <t>DC</t>
        </is>
      </c>
      <c r="D71" t="inlineStr">
        <is>
          <t>Total Forecast/Order</t>
        </is>
      </c>
      <c r="E71" t="inlineStr">
        <is>
          <t>Demand</t>
        </is>
      </c>
      <c r="F71" t="n">
        <v>504</v>
      </c>
      <c r="G71" t="n">
        <v>357</v>
      </c>
      <c r="H71" t="n">
        <v>559</v>
      </c>
      <c r="I71" t="n">
        <v>443</v>
      </c>
      <c r="J71" t="n">
        <v>152</v>
      </c>
      <c r="K71" t="n">
        <v>705</v>
      </c>
      <c r="L71" t="n">
        <v>205</v>
      </c>
      <c r="M71" t="n">
        <v>880</v>
      </c>
      <c r="N71" t="n">
        <v>669</v>
      </c>
      <c r="O71" t="n">
        <v>1113</v>
      </c>
      <c r="P71" t="n">
        <v>316</v>
      </c>
      <c r="Q71" t="n">
        <v>0</v>
      </c>
    </row>
    <row r="72">
      <c r="A72" t="inlineStr"/>
      <c r="B72" t="inlineStr"/>
      <c r="C72" t="inlineStr">
        <is>
          <t>DC</t>
        </is>
      </c>
      <c r="D72" t="inlineStr">
        <is>
          <t>Start Backorder</t>
        </is>
      </c>
      <c r="E72" t="inlineStr">
        <is>
          <t>Demand</t>
        </is>
      </c>
      <c r="F72" t="n">
        <v>0</v>
      </c>
      <c r="G72">
        <f>F76</f>
        <v/>
      </c>
      <c r="H72">
        <f>G76</f>
        <v/>
      </c>
      <c r="I72">
        <f>H76</f>
        <v/>
      </c>
      <c r="J72">
        <f>I76</f>
        <v/>
      </c>
      <c r="K72">
        <f>J76</f>
        <v/>
      </c>
      <c r="L72">
        <f>K76</f>
        <v/>
      </c>
      <c r="M72">
        <f>L76</f>
        <v/>
      </c>
      <c r="N72">
        <f>M76</f>
        <v/>
      </c>
      <c r="O72">
        <f>N76</f>
        <v/>
      </c>
      <c r="P72">
        <f>O76</f>
        <v/>
      </c>
      <c r="Q72">
        <f>P76</f>
        <v/>
      </c>
    </row>
    <row r="73">
      <c r="A73" t="inlineStr"/>
      <c r="B73" t="inlineStr"/>
      <c r="C73" t="inlineStr">
        <is>
          <t>DC</t>
        </is>
      </c>
      <c r="D73" t="inlineStr">
        <is>
          <t>Total Demand</t>
        </is>
      </c>
      <c r="E73" t="inlineStr">
        <is>
          <t>Demand</t>
        </is>
      </c>
      <c r="F73">
        <f>F71+F72</f>
        <v/>
      </c>
      <c r="G73">
        <f>G71+G72</f>
        <v/>
      </c>
      <c r="H73">
        <f>H71+H72</f>
        <v/>
      </c>
      <c r="I73">
        <f>I71+I72</f>
        <v/>
      </c>
      <c r="J73">
        <f>J71+J72</f>
        <v/>
      </c>
      <c r="K73">
        <f>K71+K72</f>
        <v/>
      </c>
      <c r="L73">
        <f>L71+L72</f>
        <v/>
      </c>
      <c r="M73">
        <f>M71+M72</f>
        <v/>
      </c>
      <c r="N73">
        <f>N71+N72</f>
        <v/>
      </c>
      <c r="O73">
        <f>O71+O72</f>
        <v/>
      </c>
      <c r="P73">
        <f>P71+P72</f>
        <v/>
      </c>
      <c r="Q73">
        <f>Q71+Q72</f>
        <v/>
      </c>
    </row>
    <row r="74">
      <c r="A74" t="inlineStr"/>
      <c r="B74" t="inlineStr"/>
      <c r="C74" t="inlineStr">
        <is>
          <t>DC</t>
        </is>
      </c>
      <c r="D74" t="inlineStr">
        <is>
          <t>Dist. Receipt Planned</t>
        </is>
      </c>
      <c r="E74" t="inlineStr">
        <is>
          <t>Supply</t>
        </is>
      </c>
      <c r="F74" t="n">
        <v>889</v>
      </c>
      <c r="G74" t="n">
        <v>0</v>
      </c>
      <c r="H74" t="n">
        <v>1183</v>
      </c>
      <c r="I74" t="n">
        <v>2112</v>
      </c>
      <c r="J74" t="n">
        <v>0</v>
      </c>
      <c r="K74" t="n">
        <v>0</v>
      </c>
      <c r="L74" t="n">
        <v>0</v>
      </c>
      <c r="M74" t="n">
        <v>0</v>
      </c>
      <c r="N74" t="n">
        <v>752</v>
      </c>
      <c r="O74" t="n">
        <v>2222</v>
      </c>
      <c r="P74" t="n">
        <v>1094</v>
      </c>
      <c r="Q74" t="n">
        <v>0</v>
      </c>
    </row>
    <row r="75">
      <c r="A75" t="inlineStr"/>
      <c r="B75" t="inlineStr"/>
      <c r="C75" t="inlineStr">
        <is>
          <t>DC</t>
        </is>
      </c>
      <c r="D75" t="inlineStr">
        <is>
          <t>Total Supply</t>
        </is>
      </c>
      <c r="E75" t="inlineStr">
        <is>
          <t>Supply</t>
        </is>
      </c>
      <c r="F75">
        <f>F74</f>
        <v/>
      </c>
      <c r="G75">
        <f>G74</f>
        <v/>
      </c>
      <c r="H75">
        <f>H74</f>
        <v/>
      </c>
      <c r="I75">
        <f>I74</f>
        <v/>
      </c>
      <c r="J75">
        <f>J74</f>
        <v/>
      </c>
      <c r="K75">
        <f>K74</f>
        <v/>
      </c>
      <c r="L75">
        <f>L74</f>
        <v/>
      </c>
      <c r="M75">
        <f>M74</f>
        <v/>
      </c>
      <c r="N75">
        <f>N74</f>
        <v/>
      </c>
      <c r="O75">
        <f>O74</f>
        <v/>
      </c>
      <c r="P75">
        <f>P74</f>
        <v/>
      </c>
      <c r="Q75">
        <f>Q74</f>
        <v/>
      </c>
    </row>
    <row r="76">
      <c r="A76" t="inlineStr"/>
      <c r="B76" t="inlineStr"/>
      <c r="C76" t="inlineStr">
        <is>
          <t>DC</t>
        </is>
      </c>
      <c r="D76" t="inlineStr">
        <is>
          <t>End. Backorder</t>
        </is>
      </c>
      <c r="E76" t="inlineStr">
        <is>
          <t>Demand</t>
        </is>
      </c>
      <c r="F76">
        <f>-MIN(0,F70+F75-F73)</f>
        <v/>
      </c>
      <c r="G76">
        <f>-MIN(0,G70+G75-G73)</f>
        <v/>
      </c>
      <c r="H76">
        <f>-MIN(0,H70+H75-H73)</f>
        <v/>
      </c>
      <c r="I76">
        <f>-MIN(0,I70+I75-I73)</f>
        <v/>
      </c>
      <c r="J76">
        <f>-MIN(0,J70+J75-J73)</f>
        <v/>
      </c>
      <c r="K76">
        <f>-MIN(0,K70+K75-K73)</f>
        <v/>
      </c>
      <c r="L76">
        <f>-MIN(0,L70+L75-L73)</f>
        <v/>
      </c>
      <c r="M76">
        <f>-MIN(0,M70+M75-M73)</f>
        <v/>
      </c>
      <c r="N76">
        <f>-MIN(0,N70+N75-N73)</f>
        <v/>
      </c>
      <c r="O76">
        <f>-MIN(0,O70+O75-O73)</f>
        <v/>
      </c>
      <c r="P76">
        <f>-MIN(0,P70+P75-P73)</f>
        <v/>
      </c>
      <c r="Q76">
        <f>-MIN(0,Q70+Q75-Q73)</f>
        <v/>
      </c>
    </row>
    <row r="77">
      <c r="A77" t="inlineStr"/>
      <c r="B77" t="inlineStr"/>
      <c r="C77" t="inlineStr">
        <is>
          <t>DC</t>
        </is>
      </c>
      <c r="D77" t="inlineStr">
        <is>
          <t>End. Inventory</t>
        </is>
      </c>
      <c r="E77" t="inlineStr">
        <is>
          <t>Inv</t>
        </is>
      </c>
      <c r="F77">
        <f>MAX(F70+F75-F73,0)</f>
        <v/>
      </c>
      <c r="G77">
        <f>MAX(G70+G75-G73,0)</f>
        <v/>
      </c>
      <c r="H77">
        <f>MAX(H70+H75-H73,0)</f>
        <v/>
      </c>
      <c r="I77">
        <f>MAX(I70+I75-I73,0)</f>
        <v/>
      </c>
      <c r="J77">
        <f>MAX(J70+J75-J73,0)</f>
        <v/>
      </c>
      <c r="K77">
        <f>MAX(K70+K75-K73,0)</f>
        <v/>
      </c>
      <c r="L77">
        <f>MAX(L70+L75-L73,0)</f>
        <v/>
      </c>
      <c r="M77">
        <f>MAX(M70+M75-M73,0)</f>
        <v/>
      </c>
      <c r="N77">
        <f>MAX(N70+N75-N73,0)</f>
        <v/>
      </c>
      <c r="O77">
        <f>MAX(O70+O75-O73,0)</f>
        <v/>
      </c>
      <c r="P77">
        <f>MAX(P70+P75-P73,0)</f>
        <v/>
      </c>
      <c r="Q77">
        <f>MAX(Q70+Q75-Q73,0)</f>
        <v/>
      </c>
    </row>
    <row r="78">
      <c r="A78" t="inlineStr"/>
      <c r="B78" t="inlineStr"/>
      <c r="C78" t="inlineStr">
        <is>
          <t>DC</t>
        </is>
      </c>
      <c r="D78" t="inlineStr">
        <is>
          <t>MSTN Thresold</t>
        </is>
      </c>
      <c r="E78" t="inlineStr">
        <is>
          <t>Inv</t>
        </is>
      </c>
      <c r="F78" t="n">
        <v>1187</v>
      </c>
      <c r="G78" t="n">
        <v>1187</v>
      </c>
      <c r="H78" t="n">
        <v>1187</v>
      </c>
      <c r="I78" t="n">
        <v>1187</v>
      </c>
      <c r="J78" t="n">
        <v>1187</v>
      </c>
      <c r="K78" t="n">
        <v>1187</v>
      </c>
      <c r="L78" t="n">
        <v>1187</v>
      </c>
      <c r="M78" t="n">
        <v>1187</v>
      </c>
      <c r="N78" t="n">
        <v>1187</v>
      </c>
      <c r="O78" t="n">
        <v>1187</v>
      </c>
      <c r="P78" t="n">
        <v>1187</v>
      </c>
      <c r="Q78" t="n">
        <v>1187</v>
      </c>
    </row>
    <row r="79">
      <c r="A79" t="inlineStr"/>
      <c r="B79" t="inlineStr"/>
      <c r="C79" t="inlineStr">
        <is>
          <t>DC</t>
        </is>
      </c>
      <c r="D79" t="inlineStr">
        <is>
          <t>ESTN Thresold</t>
        </is>
      </c>
      <c r="E79" t="inlineStr">
        <is>
          <t>Inv</t>
        </is>
      </c>
      <c r="F79" t="n">
        <v>2743</v>
      </c>
      <c r="G79" t="n">
        <v>2743</v>
      </c>
      <c r="H79" t="n">
        <v>2743</v>
      </c>
      <c r="I79" t="n">
        <v>2743</v>
      </c>
      <c r="J79" t="n">
        <v>2743</v>
      </c>
      <c r="K79" t="n">
        <v>2743</v>
      </c>
      <c r="L79" t="n">
        <v>2743</v>
      </c>
      <c r="M79" t="n">
        <v>2743</v>
      </c>
      <c r="N79" t="n">
        <v>2743</v>
      </c>
      <c r="O79" t="n">
        <v>2743</v>
      </c>
      <c r="P79" t="n">
        <v>2743</v>
      </c>
      <c r="Q79" t="n">
        <v>2743</v>
      </c>
    </row>
    <row r="80">
      <c r="A80" t="inlineStr"/>
      <c r="B80" t="inlineStr"/>
      <c r="C80" t="inlineStr">
        <is>
          <t>DC</t>
        </is>
      </c>
      <c r="D80" t="inlineStr">
        <is>
          <t>MSTN%</t>
        </is>
      </c>
      <c r="E80" t="inlineStr"/>
      <c r="F80" s="2">
        <f>IFERROR(MIN(F77,F78)/F78,1)</f>
        <v/>
      </c>
      <c r="G80" s="2">
        <f>IFERROR(MIN(G77,G78)/G78,1)</f>
        <v/>
      </c>
      <c r="H80" s="2">
        <f>IFERROR(MIN(H77,H78)/H78,1)</f>
        <v/>
      </c>
      <c r="I80" s="2">
        <f>IFERROR(MIN(I77,I78)/I78,1)</f>
        <v/>
      </c>
      <c r="J80" s="2">
        <f>IFERROR(MIN(J77,J78)/J78,1)</f>
        <v/>
      </c>
      <c r="K80" s="2">
        <f>IFERROR(MIN(K77,K78)/K78,1)</f>
        <v/>
      </c>
      <c r="L80" s="2">
        <f>IFERROR(MIN(L77,L78)/L78,1)</f>
        <v/>
      </c>
      <c r="M80" s="2">
        <f>IFERROR(MIN(M77,M78)/M78,1)</f>
        <v/>
      </c>
      <c r="N80" s="2">
        <f>IFERROR(MIN(N77,N78)/N78,1)</f>
        <v/>
      </c>
      <c r="O80" s="2">
        <f>IFERROR(MIN(O77,O78)/O78,1)</f>
        <v/>
      </c>
      <c r="P80" s="2">
        <f>IFERROR(MIN(P77,P78)/P78,1)</f>
        <v/>
      </c>
      <c r="Q80" s="2">
        <f>IFERROR(MIN(Q77,Q78)/Q78,1)</f>
        <v/>
      </c>
    </row>
    <row r="81">
      <c r="A81" t="inlineStr"/>
      <c r="B81" t="inlineStr"/>
      <c r="C81" t="inlineStr">
        <is>
          <t>DC</t>
        </is>
      </c>
      <c r="D81" t="inlineStr">
        <is>
          <t>ESTN%</t>
        </is>
      </c>
      <c r="E81" t="inlineStr"/>
      <c r="F81" s="2">
        <f>MAX(F77-F79,0)/F79</f>
        <v/>
      </c>
      <c r="G81" s="2">
        <f>MAX(G77-G79,0)/G79</f>
        <v/>
      </c>
      <c r="H81" s="2">
        <f>MAX(H77-H79,0)/H79</f>
        <v/>
      </c>
      <c r="I81" s="2">
        <f>MAX(I77-I79,0)/I79</f>
        <v/>
      </c>
      <c r="J81" s="2">
        <f>MAX(J77-J79,0)/J79</f>
        <v/>
      </c>
      <c r="K81" s="2">
        <f>MAX(K77-K79,0)/K79</f>
        <v/>
      </c>
      <c r="L81" s="2">
        <f>MAX(L77-L79,0)/L79</f>
        <v/>
      </c>
      <c r="M81" s="2">
        <f>MAX(M77-M79,0)/M79</f>
        <v/>
      </c>
      <c r="N81" s="2">
        <f>MAX(N77-N79,0)/N79</f>
        <v/>
      </c>
      <c r="O81" s="2">
        <f>MAX(O77-O79,0)/O79</f>
        <v/>
      </c>
      <c r="P81" s="2">
        <f>MAX(P77-P79,0)/P79</f>
        <v/>
      </c>
      <c r="Q81" s="2">
        <f>MAX(Q77-Q79,0)/Q79</f>
        <v/>
      </c>
    </row>
    <row r="82">
      <c r="A82" t="inlineStr"/>
      <c r="B82" t="inlineStr"/>
      <c r="C82" t="inlineStr">
        <is>
          <t>DC</t>
        </is>
      </c>
      <c r="D82" t="inlineStr">
        <is>
          <t>Shortage</t>
        </is>
      </c>
      <c r="E82" t="inlineStr">
        <is>
          <t>Inv</t>
        </is>
      </c>
      <c r="F82">
        <f>MAX(0,F78-F77)</f>
        <v/>
      </c>
      <c r="G82">
        <f>MAX(0,G78-G77)</f>
        <v/>
      </c>
      <c r="H82">
        <f>MAX(0,H78-H77)</f>
        <v/>
      </c>
      <c r="I82">
        <f>MAX(0,I78-I77)</f>
        <v/>
      </c>
      <c r="J82">
        <f>MAX(0,J78-J77)</f>
        <v/>
      </c>
      <c r="K82">
        <f>MAX(0,K78-K77)</f>
        <v/>
      </c>
      <c r="L82">
        <f>MAX(0,L78-L77)</f>
        <v/>
      </c>
      <c r="M82">
        <f>MAX(0,M78-M77)</f>
        <v/>
      </c>
      <c r="N82">
        <f>MAX(0,N78-N77)</f>
        <v/>
      </c>
      <c r="O82">
        <f>MAX(0,O78-O77)</f>
        <v/>
      </c>
      <c r="P82">
        <f>MAX(0,P78-P77)</f>
        <v/>
      </c>
      <c r="Q82">
        <f>MAX(0,Q78-Q77)</f>
        <v/>
      </c>
    </row>
    <row r="83">
      <c r="A83" t="inlineStr"/>
      <c r="B83" t="inlineStr"/>
      <c r="C83" t="inlineStr">
        <is>
          <t>DC</t>
        </is>
      </c>
      <c r="D83" t="inlineStr">
        <is>
          <t>Excess</t>
        </is>
      </c>
      <c r="E83" t="inlineStr">
        <is>
          <t>Inv</t>
        </is>
      </c>
      <c r="F83">
        <f>MAX(0,F77-F79)</f>
        <v/>
      </c>
      <c r="G83">
        <f>MAX(0,G77-G79)</f>
        <v/>
      </c>
      <c r="H83">
        <f>MAX(0,H77-H79)</f>
        <v/>
      </c>
      <c r="I83">
        <f>MAX(0,I77-I79)</f>
        <v/>
      </c>
      <c r="J83">
        <f>MAX(0,J77-J79)</f>
        <v/>
      </c>
      <c r="K83">
        <f>MAX(0,K77-K79)</f>
        <v/>
      </c>
      <c r="L83">
        <f>MAX(0,L77-L79)</f>
        <v/>
      </c>
      <c r="M83">
        <f>MAX(0,M77-M79)</f>
        <v/>
      </c>
      <c r="N83">
        <f>MAX(0,N77-N79)</f>
        <v/>
      </c>
      <c r="O83">
        <f>MAX(0,O77-O79)</f>
        <v/>
      </c>
      <c r="P83">
        <f>MAX(0,P77-P79)</f>
        <v/>
      </c>
      <c r="Q83">
        <f>MAX(0,Q77-Q79)</f>
        <v/>
      </c>
    </row>
    <row r="84">
      <c r="A84" t="inlineStr"/>
      <c r="B84" t="inlineStr"/>
      <c r="C84" t="inlineStr">
        <is>
          <t>DC</t>
        </is>
      </c>
      <c r="D84" t="inlineStr">
        <is>
          <t>Out of stock Value($)</t>
        </is>
      </c>
      <c r="E84" t="inlineStr">
        <is>
          <t>Val</t>
        </is>
      </c>
    </row>
    <row r="85">
      <c r="A85" t="inlineStr"/>
      <c r="B85" t="inlineStr"/>
      <c r="C85" t="inlineStr">
        <is>
          <t>DC</t>
        </is>
      </c>
      <c r="D85" t="inlineStr">
        <is>
          <t>Excess and over($)</t>
        </is>
      </c>
      <c r="E85" t="inlineStr">
        <is>
          <t>Val</t>
        </is>
      </c>
    </row>
    <row r="86"/>
    <row r="87">
      <c r="A87" t="inlineStr">
        <is>
          <t>SKU_0002</t>
        </is>
      </c>
      <c r="B87" t="inlineStr">
        <is>
          <t>DC1</t>
        </is>
      </c>
      <c r="C87" t="inlineStr">
        <is>
          <t>DC</t>
        </is>
      </c>
      <c r="D87" t="inlineStr">
        <is>
          <t>Start Inventory</t>
        </is>
      </c>
      <c r="E87" t="inlineStr">
        <is>
          <t>Inv</t>
        </is>
      </c>
      <c r="F87" t="n">
        <v>385</v>
      </c>
      <c r="G87">
        <f>F94</f>
        <v/>
      </c>
      <c r="H87">
        <f>G94</f>
        <v/>
      </c>
      <c r="I87">
        <f>H94</f>
        <v/>
      </c>
      <c r="J87">
        <f>I94</f>
        <v/>
      </c>
      <c r="K87">
        <f>J94</f>
        <v/>
      </c>
      <c r="L87">
        <f>K94</f>
        <v/>
      </c>
      <c r="M87">
        <f>L94</f>
        <v/>
      </c>
      <c r="N87">
        <f>M94</f>
        <v/>
      </c>
      <c r="O87">
        <f>N94</f>
        <v/>
      </c>
      <c r="P87">
        <f>O94</f>
        <v/>
      </c>
      <c r="Q87">
        <f>P94</f>
        <v/>
      </c>
    </row>
    <row r="88">
      <c r="A88" t="inlineStr"/>
      <c r="B88" t="inlineStr"/>
      <c r="C88" t="inlineStr">
        <is>
          <t>DC</t>
        </is>
      </c>
      <c r="D88" t="inlineStr">
        <is>
          <t>Total Forecast/Order</t>
        </is>
      </c>
      <c r="E88" t="inlineStr">
        <is>
          <t>Demand</t>
        </is>
      </c>
      <c r="F88" t="n">
        <v>82</v>
      </c>
      <c r="G88" t="n">
        <v>168</v>
      </c>
      <c r="H88" t="n">
        <v>123</v>
      </c>
      <c r="I88" t="n">
        <v>123</v>
      </c>
      <c r="J88" t="n">
        <v>143</v>
      </c>
      <c r="K88" t="n">
        <v>107</v>
      </c>
      <c r="L88" t="n">
        <v>111</v>
      </c>
      <c r="M88" t="n">
        <v>89</v>
      </c>
      <c r="N88" t="n">
        <v>117</v>
      </c>
      <c r="O88" t="n">
        <v>108</v>
      </c>
      <c r="P88" t="n">
        <v>116</v>
      </c>
      <c r="Q88" t="n">
        <v>100</v>
      </c>
    </row>
    <row r="89">
      <c r="A89" t="inlineStr"/>
      <c r="B89" t="inlineStr"/>
      <c r="C89" t="inlineStr">
        <is>
          <t>DC</t>
        </is>
      </c>
      <c r="D89" t="inlineStr">
        <is>
          <t>Start Backorder</t>
        </is>
      </c>
      <c r="E89" t="inlineStr">
        <is>
          <t>Demand</t>
        </is>
      </c>
      <c r="F89" t="n">
        <v>0</v>
      </c>
      <c r="G89">
        <f>F93</f>
        <v/>
      </c>
      <c r="H89">
        <f>G93</f>
        <v/>
      </c>
      <c r="I89">
        <f>H93</f>
        <v/>
      </c>
      <c r="J89">
        <f>I93</f>
        <v/>
      </c>
      <c r="K89">
        <f>J93</f>
        <v/>
      </c>
      <c r="L89">
        <f>K93</f>
        <v/>
      </c>
      <c r="M89">
        <f>L93</f>
        <v/>
      </c>
      <c r="N89">
        <f>M93</f>
        <v/>
      </c>
      <c r="O89">
        <f>N93</f>
        <v/>
      </c>
      <c r="P89">
        <f>O93</f>
        <v/>
      </c>
      <c r="Q89">
        <f>P93</f>
        <v/>
      </c>
    </row>
    <row r="90">
      <c r="A90" t="inlineStr"/>
      <c r="B90" t="inlineStr"/>
      <c r="C90" t="inlineStr">
        <is>
          <t>DC</t>
        </is>
      </c>
      <c r="D90" t="inlineStr">
        <is>
          <t>Total Demand</t>
        </is>
      </c>
      <c r="E90" t="inlineStr">
        <is>
          <t>Demand</t>
        </is>
      </c>
      <c r="F90">
        <f>F88+F89</f>
        <v/>
      </c>
      <c r="G90">
        <f>G88+G89</f>
        <v/>
      </c>
      <c r="H90">
        <f>H88+H89</f>
        <v/>
      </c>
      <c r="I90">
        <f>I88+I89</f>
        <v/>
      </c>
      <c r="J90">
        <f>J88+J89</f>
        <v/>
      </c>
      <c r="K90">
        <f>K88+K89</f>
        <v/>
      </c>
      <c r="L90">
        <f>L88+L89</f>
        <v/>
      </c>
      <c r="M90">
        <f>M88+M89</f>
        <v/>
      </c>
      <c r="N90">
        <f>N88+N89</f>
        <v/>
      </c>
      <c r="O90">
        <f>O88+O89</f>
        <v/>
      </c>
      <c r="P90">
        <f>P88+P89</f>
        <v/>
      </c>
      <c r="Q90">
        <f>Q88+Q89</f>
        <v/>
      </c>
    </row>
    <row r="91">
      <c r="A91" t="inlineStr"/>
      <c r="B91" t="inlineStr"/>
      <c r="C91" t="inlineStr">
        <is>
          <t>DC</t>
        </is>
      </c>
      <c r="D91" t="inlineStr">
        <is>
          <t>Dist. Receipt Planned</t>
        </is>
      </c>
      <c r="E91" t="inlineStr">
        <is>
          <t>Supply</t>
        </is>
      </c>
      <c r="F91" t="n">
        <v>0</v>
      </c>
      <c r="G91" t="n">
        <v>356</v>
      </c>
      <c r="H91" t="n">
        <v>498</v>
      </c>
      <c r="I91" t="n">
        <v>737</v>
      </c>
      <c r="J91" t="n">
        <v>943</v>
      </c>
      <c r="K91" t="n">
        <v>0</v>
      </c>
      <c r="L91" t="n">
        <v>0</v>
      </c>
      <c r="M91" t="n">
        <v>0</v>
      </c>
      <c r="N91" t="n">
        <v>0</v>
      </c>
      <c r="O91" t="n">
        <v>568</v>
      </c>
      <c r="P91" t="n">
        <v>0</v>
      </c>
      <c r="Q91" t="n">
        <v>0</v>
      </c>
    </row>
    <row r="92">
      <c r="A92" t="inlineStr"/>
      <c r="B92" t="inlineStr"/>
      <c r="C92" t="inlineStr">
        <is>
          <t>DC</t>
        </is>
      </c>
      <c r="D92" t="inlineStr">
        <is>
          <t>Total Supply</t>
        </is>
      </c>
      <c r="E92" t="inlineStr">
        <is>
          <t>Supply</t>
        </is>
      </c>
      <c r="F92">
        <f>F91</f>
        <v/>
      </c>
      <c r="G92">
        <f>G91</f>
        <v/>
      </c>
      <c r="H92">
        <f>H91</f>
        <v/>
      </c>
      <c r="I92">
        <f>I91</f>
        <v/>
      </c>
      <c r="J92">
        <f>J91</f>
        <v/>
      </c>
      <c r="K92">
        <f>K91</f>
        <v/>
      </c>
      <c r="L92">
        <f>L91</f>
        <v/>
      </c>
      <c r="M92">
        <f>M91</f>
        <v/>
      </c>
      <c r="N92">
        <f>N91</f>
        <v/>
      </c>
      <c r="O92">
        <f>O91</f>
        <v/>
      </c>
      <c r="P92">
        <f>P91</f>
        <v/>
      </c>
      <c r="Q92">
        <f>Q91</f>
        <v/>
      </c>
    </row>
    <row r="93">
      <c r="A93" t="inlineStr"/>
      <c r="B93" t="inlineStr"/>
      <c r="C93" t="inlineStr">
        <is>
          <t>DC</t>
        </is>
      </c>
      <c r="D93" t="inlineStr">
        <is>
          <t>End. Backorder</t>
        </is>
      </c>
      <c r="E93" t="inlineStr">
        <is>
          <t>Demand</t>
        </is>
      </c>
      <c r="F93">
        <f>-MIN(0,F87+F92-F90)</f>
        <v/>
      </c>
      <c r="G93">
        <f>-MIN(0,G87+G92-G90)</f>
        <v/>
      </c>
      <c r="H93">
        <f>-MIN(0,H87+H92-H90)</f>
        <v/>
      </c>
      <c r="I93">
        <f>-MIN(0,I87+I92-I90)</f>
        <v/>
      </c>
      <c r="J93">
        <f>-MIN(0,J87+J92-J90)</f>
        <v/>
      </c>
      <c r="K93">
        <f>-MIN(0,K87+K92-K90)</f>
        <v/>
      </c>
      <c r="L93">
        <f>-MIN(0,L87+L92-L90)</f>
        <v/>
      </c>
      <c r="M93">
        <f>-MIN(0,M87+M92-M90)</f>
        <v/>
      </c>
      <c r="N93">
        <f>-MIN(0,N87+N92-N90)</f>
        <v/>
      </c>
      <c r="O93">
        <f>-MIN(0,O87+O92-O90)</f>
        <v/>
      </c>
      <c r="P93">
        <f>-MIN(0,P87+P92-P90)</f>
        <v/>
      </c>
      <c r="Q93">
        <f>-MIN(0,Q87+Q92-Q90)</f>
        <v/>
      </c>
    </row>
    <row r="94">
      <c r="A94" t="inlineStr"/>
      <c r="B94" t="inlineStr"/>
      <c r="C94" t="inlineStr">
        <is>
          <t>DC</t>
        </is>
      </c>
      <c r="D94" t="inlineStr">
        <is>
          <t>End. Inventory</t>
        </is>
      </c>
      <c r="E94" t="inlineStr">
        <is>
          <t>Inv</t>
        </is>
      </c>
      <c r="F94">
        <f>MAX(F87+F92-F90,0)</f>
        <v/>
      </c>
      <c r="G94">
        <f>MAX(G87+G92-G90,0)</f>
        <v/>
      </c>
      <c r="H94">
        <f>MAX(H87+H92-H90,0)</f>
        <v/>
      </c>
      <c r="I94">
        <f>MAX(I87+I92-I90,0)</f>
        <v/>
      </c>
      <c r="J94">
        <f>MAX(J87+J92-J90,0)</f>
        <v/>
      </c>
      <c r="K94">
        <f>MAX(K87+K92-K90,0)</f>
        <v/>
      </c>
      <c r="L94">
        <f>MAX(L87+L92-L90,0)</f>
        <v/>
      </c>
      <c r="M94">
        <f>MAX(M87+M92-M90,0)</f>
        <v/>
      </c>
      <c r="N94">
        <f>MAX(N87+N92-N90,0)</f>
        <v/>
      </c>
      <c r="O94">
        <f>MAX(O87+O92-O90,0)</f>
        <v/>
      </c>
      <c r="P94">
        <f>MAX(P87+P92-P90,0)</f>
        <v/>
      </c>
      <c r="Q94">
        <f>MAX(Q87+Q92-Q90,0)</f>
        <v/>
      </c>
    </row>
    <row r="95">
      <c r="A95" t="inlineStr"/>
      <c r="B95" t="inlineStr"/>
      <c r="C95" t="inlineStr">
        <is>
          <t>DC</t>
        </is>
      </c>
      <c r="D95" t="inlineStr">
        <is>
          <t>MSTN Thresold</t>
        </is>
      </c>
      <c r="E95" t="inlineStr">
        <is>
          <t>Inv</t>
        </is>
      </c>
      <c r="F95" t="n">
        <v>480</v>
      </c>
      <c r="G95" t="n">
        <v>480</v>
      </c>
      <c r="H95" t="n">
        <v>480</v>
      </c>
      <c r="I95" t="n">
        <v>480</v>
      </c>
      <c r="J95" t="n">
        <v>480</v>
      </c>
      <c r="K95" t="n">
        <v>480</v>
      </c>
      <c r="L95" t="n">
        <v>480</v>
      </c>
      <c r="M95" t="n">
        <v>480</v>
      </c>
      <c r="N95" t="n">
        <v>480</v>
      </c>
      <c r="O95" t="n">
        <v>480</v>
      </c>
      <c r="P95" t="n">
        <v>480</v>
      </c>
      <c r="Q95" t="n">
        <v>480</v>
      </c>
    </row>
    <row r="96">
      <c r="A96" t="inlineStr"/>
      <c r="B96" t="inlineStr"/>
      <c r="C96" t="inlineStr">
        <is>
          <t>DC</t>
        </is>
      </c>
      <c r="D96" t="inlineStr">
        <is>
          <t>ESTN Thresold</t>
        </is>
      </c>
      <c r="E96" t="inlineStr">
        <is>
          <t>Inv</t>
        </is>
      </c>
      <c r="F96" t="n">
        <v>1910</v>
      </c>
      <c r="G96" t="n">
        <v>1910</v>
      </c>
      <c r="H96" t="n">
        <v>1910</v>
      </c>
      <c r="I96" t="n">
        <v>1910</v>
      </c>
      <c r="J96" t="n">
        <v>1910</v>
      </c>
      <c r="K96" t="n">
        <v>1910</v>
      </c>
      <c r="L96" t="n">
        <v>1910</v>
      </c>
      <c r="M96" t="n">
        <v>1910</v>
      </c>
      <c r="N96" t="n">
        <v>1910</v>
      </c>
      <c r="O96" t="n">
        <v>1910</v>
      </c>
      <c r="P96" t="n">
        <v>1910</v>
      </c>
      <c r="Q96" t="n">
        <v>1910</v>
      </c>
    </row>
    <row r="97">
      <c r="A97" t="inlineStr"/>
      <c r="B97" t="inlineStr"/>
      <c r="C97" t="inlineStr">
        <is>
          <t>DC</t>
        </is>
      </c>
      <c r="D97" t="inlineStr">
        <is>
          <t>MSTN%</t>
        </is>
      </c>
      <c r="E97" t="inlineStr"/>
      <c r="F97" s="2">
        <f>IFERROR(MIN(F94,F95)/F95,1)</f>
        <v/>
      </c>
      <c r="G97" s="2">
        <f>IFERROR(MIN(G94,G95)/G95,1)</f>
        <v/>
      </c>
      <c r="H97" s="2">
        <f>IFERROR(MIN(H94,H95)/H95,1)</f>
        <v/>
      </c>
      <c r="I97" s="2">
        <f>IFERROR(MIN(I94,I95)/I95,1)</f>
        <v/>
      </c>
      <c r="J97" s="2">
        <f>IFERROR(MIN(J94,J95)/J95,1)</f>
        <v/>
      </c>
      <c r="K97" s="2">
        <f>IFERROR(MIN(K94,K95)/K95,1)</f>
        <v/>
      </c>
      <c r="L97" s="2">
        <f>IFERROR(MIN(L94,L95)/L95,1)</f>
        <v/>
      </c>
      <c r="M97" s="2">
        <f>IFERROR(MIN(M94,M95)/M95,1)</f>
        <v/>
      </c>
      <c r="N97" s="2">
        <f>IFERROR(MIN(N94,N95)/N95,1)</f>
        <v/>
      </c>
      <c r="O97" s="2">
        <f>IFERROR(MIN(O94,O95)/O95,1)</f>
        <v/>
      </c>
      <c r="P97" s="2">
        <f>IFERROR(MIN(P94,P95)/P95,1)</f>
        <v/>
      </c>
      <c r="Q97" s="2">
        <f>IFERROR(MIN(Q94,Q95)/Q95,1)</f>
        <v/>
      </c>
    </row>
    <row r="98">
      <c r="A98" t="inlineStr"/>
      <c r="B98" t="inlineStr"/>
      <c r="C98" t="inlineStr">
        <is>
          <t>DC</t>
        </is>
      </c>
      <c r="D98" t="inlineStr">
        <is>
          <t>ESTN%</t>
        </is>
      </c>
      <c r="E98" t="inlineStr"/>
      <c r="F98" s="2">
        <f>MAX(F94-F96,0)/F96</f>
        <v/>
      </c>
      <c r="G98" s="2">
        <f>MAX(G94-G96,0)/G96</f>
        <v/>
      </c>
      <c r="H98" s="2">
        <f>MAX(H94-H96,0)/H96</f>
        <v/>
      </c>
      <c r="I98" s="2">
        <f>MAX(I94-I96,0)/I96</f>
        <v/>
      </c>
      <c r="J98" s="2">
        <f>MAX(J94-J96,0)/J96</f>
        <v/>
      </c>
      <c r="K98" s="2">
        <f>MAX(K94-K96,0)/K96</f>
        <v/>
      </c>
      <c r="L98" s="2">
        <f>MAX(L94-L96,0)/L96</f>
        <v/>
      </c>
      <c r="M98" s="2">
        <f>MAX(M94-M96,0)/M96</f>
        <v/>
      </c>
      <c r="N98" s="2">
        <f>MAX(N94-N96,0)/N96</f>
        <v/>
      </c>
      <c r="O98" s="2">
        <f>MAX(O94-O96,0)/O96</f>
        <v/>
      </c>
      <c r="P98" s="2">
        <f>MAX(P94-P96,0)/P96</f>
        <v/>
      </c>
      <c r="Q98" s="2">
        <f>MAX(Q94-Q96,0)/Q96</f>
        <v/>
      </c>
    </row>
    <row r="99">
      <c r="A99" t="inlineStr"/>
      <c r="B99" t="inlineStr"/>
      <c r="C99" t="inlineStr">
        <is>
          <t>DC</t>
        </is>
      </c>
      <c r="D99" t="inlineStr">
        <is>
          <t>Shortage</t>
        </is>
      </c>
      <c r="E99" t="inlineStr">
        <is>
          <t>Inv</t>
        </is>
      </c>
      <c r="F99">
        <f>MAX(0,F95-F94)</f>
        <v/>
      </c>
      <c r="G99">
        <f>MAX(0,G95-G94)</f>
        <v/>
      </c>
      <c r="H99">
        <f>MAX(0,H95-H94)</f>
        <v/>
      </c>
      <c r="I99">
        <f>MAX(0,I95-I94)</f>
        <v/>
      </c>
      <c r="J99">
        <f>MAX(0,J95-J94)</f>
        <v/>
      </c>
      <c r="K99">
        <f>MAX(0,K95-K94)</f>
        <v/>
      </c>
      <c r="L99">
        <f>MAX(0,L95-L94)</f>
        <v/>
      </c>
      <c r="M99">
        <f>MAX(0,M95-M94)</f>
        <v/>
      </c>
      <c r="N99">
        <f>MAX(0,N95-N94)</f>
        <v/>
      </c>
      <c r="O99">
        <f>MAX(0,O95-O94)</f>
        <v/>
      </c>
      <c r="P99">
        <f>MAX(0,P95-P94)</f>
        <v/>
      </c>
      <c r="Q99">
        <f>MAX(0,Q95-Q94)</f>
        <v/>
      </c>
    </row>
    <row r="100">
      <c r="A100" t="inlineStr"/>
      <c r="B100" t="inlineStr"/>
      <c r="C100" t="inlineStr">
        <is>
          <t>DC</t>
        </is>
      </c>
      <c r="D100" t="inlineStr">
        <is>
          <t>Excess</t>
        </is>
      </c>
      <c r="E100" t="inlineStr">
        <is>
          <t>Inv</t>
        </is>
      </c>
      <c r="F100">
        <f>MAX(0,F94-F96)</f>
        <v/>
      </c>
      <c r="G100">
        <f>MAX(0,G94-G96)</f>
        <v/>
      </c>
      <c r="H100">
        <f>MAX(0,H94-H96)</f>
        <v/>
      </c>
      <c r="I100">
        <f>MAX(0,I94-I96)</f>
        <v/>
      </c>
      <c r="J100">
        <f>MAX(0,J94-J96)</f>
        <v/>
      </c>
      <c r="K100">
        <f>MAX(0,K94-K96)</f>
        <v/>
      </c>
      <c r="L100">
        <f>MAX(0,L94-L96)</f>
        <v/>
      </c>
      <c r="M100">
        <f>MAX(0,M94-M96)</f>
        <v/>
      </c>
      <c r="N100">
        <f>MAX(0,N94-N96)</f>
        <v/>
      </c>
      <c r="O100">
        <f>MAX(0,O94-O96)</f>
        <v/>
      </c>
      <c r="P100">
        <f>MAX(0,P94-P96)</f>
        <v/>
      </c>
      <c r="Q100">
        <f>MAX(0,Q94-Q96)</f>
        <v/>
      </c>
    </row>
    <row r="101">
      <c r="A101" t="inlineStr"/>
      <c r="B101" t="inlineStr"/>
      <c r="C101" t="inlineStr">
        <is>
          <t>DC</t>
        </is>
      </c>
      <c r="D101" t="inlineStr">
        <is>
          <t>Out of stock Value($)</t>
        </is>
      </c>
      <c r="E101" t="inlineStr">
        <is>
          <t>Val</t>
        </is>
      </c>
    </row>
    <row r="102">
      <c r="A102" t="inlineStr"/>
      <c r="B102" t="inlineStr"/>
      <c r="C102" t="inlineStr">
        <is>
          <t>DC</t>
        </is>
      </c>
      <c r="D102" t="inlineStr">
        <is>
          <t>Excess and over($)</t>
        </is>
      </c>
      <c r="E102" t="inlineStr">
        <is>
          <t>Val</t>
        </is>
      </c>
    </row>
    <row r="103"/>
    <row r="104">
      <c r="A104" t="inlineStr">
        <is>
          <t>SKU_0002</t>
        </is>
      </c>
      <c r="B104" t="inlineStr">
        <is>
          <t>DC2</t>
        </is>
      </c>
      <c r="C104" t="inlineStr">
        <is>
          <t>DC</t>
        </is>
      </c>
      <c r="D104" t="inlineStr">
        <is>
          <t>Start Inventory</t>
        </is>
      </c>
      <c r="E104" t="inlineStr">
        <is>
          <t>Inv</t>
        </is>
      </c>
      <c r="F104" t="n">
        <v>658</v>
      </c>
      <c r="G104">
        <f>F111</f>
        <v/>
      </c>
      <c r="H104">
        <f>G111</f>
        <v/>
      </c>
      <c r="I104">
        <f>H111</f>
        <v/>
      </c>
      <c r="J104">
        <f>I111</f>
        <v/>
      </c>
      <c r="K104">
        <f>J111</f>
        <v/>
      </c>
      <c r="L104">
        <f>K111</f>
        <v/>
      </c>
      <c r="M104">
        <f>L111</f>
        <v/>
      </c>
      <c r="N104">
        <f>M111</f>
        <v/>
      </c>
      <c r="O104">
        <f>N111</f>
        <v/>
      </c>
      <c r="P104">
        <f>O111</f>
        <v/>
      </c>
      <c r="Q104">
        <f>P111</f>
        <v/>
      </c>
    </row>
    <row r="105">
      <c r="A105" t="inlineStr"/>
      <c r="B105" t="inlineStr"/>
      <c r="C105" t="inlineStr">
        <is>
          <t>DC</t>
        </is>
      </c>
      <c r="D105" t="inlineStr">
        <is>
          <t>Total Forecast/Order</t>
        </is>
      </c>
      <c r="E105" t="inlineStr">
        <is>
          <t>Demand</t>
        </is>
      </c>
      <c r="F105" t="n">
        <v>84</v>
      </c>
      <c r="G105" t="n">
        <v>116</v>
      </c>
      <c r="H105" t="n">
        <v>69</v>
      </c>
      <c r="I105" t="n">
        <v>76</v>
      </c>
      <c r="J105" t="n">
        <v>91</v>
      </c>
      <c r="K105" t="n">
        <v>90</v>
      </c>
      <c r="L105" t="n">
        <v>75</v>
      </c>
      <c r="M105" t="n">
        <v>88</v>
      </c>
      <c r="N105" t="n">
        <v>96</v>
      </c>
      <c r="O105" t="n">
        <v>105</v>
      </c>
      <c r="P105" t="n">
        <v>90</v>
      </c>
      <c r="Q105" t="n">
        <v>97</v>
      </c>
    </row>
    <row r="106">
      <c r="A106" t="inlineStr"/>
      <c r="B106" t="inlineStr"/>
      <c r="C106" t="inlineStr">
        <is>
          <t>DC</t>
        </is>
      </c>
      <c r="D106" t="inlineStr">
        <is>
          <t>Start Backorder</t>
        </is>
      </c>
      <c r="E106" t="inlineStr">
        <is>
          <t>Demand</t>
        </is>
      </c>
      <c r="F106" t="n">
        <v>0</v>
      </c>
      <c r="G106">
        <f>F110</f>
        <v/>
      </c>
      <c r="H106">
        <f>G110</f>
        <v/>
      </c>
      <c r="I106">
        <f>H110</f>
        <v/>
      </c>
      <c r="J106">
        <f>I110</f>
        <v/>
      </c>
      <c r="K106">
        <f>J110</f>
        <v/>
      </c>
      <c r="L106">
        <f>K110</f>
        <v/>
      </c>
      <c r="M106">
        <f>L110</f>
        <v/>
      </c>
      <c r="N106">
        <f>M110</f>
        <v/>
      </c>
      <c r="O106">
        <f>N110</f>
        <v/>
      </c>
      <c r="P106">
        <f>O110</f>
        <v/>
      </c>
      <c r="Q106">
        <f>P110</f>
        <v/>
      </c>
    </row>
    <row r="107">
      <c r="A107" t="inlineStr"/>
      <c r="B107" t="inlineStr"/>
      <c r="C107" t="inlineStr">
        <is>
          <t>DC</t>
        </is>
      </c>
      <c r="D107" t="inlineStr">
        <is>
          <t>Total Demand</t>
        </is>
      </c>
      <c r="E107" t="inlineStr">
        <is>
          <t>Demand</t>
        </is>
      </c>
      <c r="F107">
        <f>F105+F106</f>
        <v/>
      </c>
      <c r="G107">
        <f>G105+G106</f>
        <v/>
      </c>
      <c r="H107">
        <f>H105+H106</f>
        <v/>
      </c>
      <c r="I107">
        <f>I105+I106</f>
        <v/>
      </c>
      <c r="J107">
        <f>J105+J106</f>
        <v/>
      </c>
      <c r="K107">
        <f>K105+K106</f>
        <v/>
      </c>
      <c r="L107">
        <f>L105+L106</f>
        <v/>
      </c>
      <c r="M107">
        <f>M105+M106</f>
        <v/>
      </c>
      <c r="N107">
        <f>N105+N106</f>
        <v/>
      </c>
      <c r="O107">
        <f>O105+O106</f>
        <v/>
      </c>
      <c r="P107">
        <f>P105+P106</f>
        <v/>
      </c>
      <c r="Q107">
        <f>Q105+Q106</f>
        <v/>
      </c>
    </row>
    <row r="108">
      <c r="A108" t="inlineStr"/>
      <c r="B108" t="inlineStr"/>
      <c r="C108" t="inlineStr">
        <is>
          <t>DC</t>
        </is>
      </c>
      <c r="D108" t="inlineStr">
        <is>
          <t>Dist. Receipt Planned</t>
        </is>
      </c>
      <c r="E108" t="inlineStr">
        <is>
          <t>Supply</t>
        </is>
      </c>
      <c r="F108" t="n">
        <v>0</v>
      </c>
      <c r="G108" t="n">
        <v>0</v>
      </c>
      <c r="H108" t="n">
        <v>158</v>
      </c>
      <c r="I108" t="n">
        <v>0</v>
      </c>
      <c r="J108" t="n">
        <v>471</v>
      </c>
      <c r="K108" t="n">
        <v>0</v>
      </c>
      <c r="L108" t="n">
        <v>233</v>
      </c>
      <c r="M108" t="n">
        <v>0</v>
      </c>
      <c r="N108" t="n">
        <v>0</v>
      </c>
      <c r="O108" t="n">
        <v>0</v>
      </c>
      <c r="P108" t="n">
        <v>0</v>
      </c>
      <c r="Q108" t="n">
        <v>0</v>
      </c>
    </row>
    <row r="109">
      <c r="A109" t="inlineStr"/>
      <c r="B109" t="inlineStr"/>
      <c r="C109" t="inlineStr">
        <is>
          <t>DC</t>
        </is>
      </c>
      <c r="D109" t="inlineStr">
        <is>
          <t>Total Supply</t>
        </is>
      </c>
      <c r="E109" t="inlineStr">
        <is>
          <t>Supply</t>
        </is>
      </c>
      <c r="F109">
        <f>F108</f>
        <v/>
      </c>
      <c r="G109">
        <f>G108</f>
        <v/>
      </c>
      <c r="H109">
        <f>H108</f>
        <v/>
      </c>
      <c r="I109">
        <f>I108</f>
        <v/>
      </c>
      <c r="J109">
        <f>J108</f>
        <v/>
      </c>
      <c r="K109">
        <f>K108</f>
        <v/>
      </c>
      <c r="L109">
        <f>L108</f>
        <v/>
      </c>
      <c r="M109">
        <f>M108</f>
        <v/>
      </c>
      <c r="N109">
        <f>N108</f>
        <v/>
      </c>
      <c r="O109">
        <f>O108</f>
        <v/>
      </c>
      <c r="P109">
        <f>P108</f>
        <v/>
      </c>
      <c r="Q109">
        <f>Q108</f>
        <v/>
      </c>
    </row>
    <row r="110">
      <c r="A110" t="inlineStr"/>
      <c r="B110" t="inlineStr"/>
      <c r="C110" t="inlineStr">
        <is>
          <t>DC</t>
        </is>
      </c>
      <c r="D110" t="inlineStr">
        <is>
          <t>End. Backorder</t>
        </is>
      </c>
      <c r="E110" t="inlineStr">
        <is>
          <t>Demand</t>
        </is>
      </c>
      <c r="F110">
        <f>-MIN(0,F104+F109-F107)</f>
        <v/>
      </c>
      <c r="G110">
        <f>-MIN(0,G104+G109-G107)</f>
        <v/>
      </c>
      <c r="H110">
        <f>-MIN(0,H104+H109-H107)</f>
        <v/>
      </c>
      <c r="I110">
        <f>-MIN(0,I104+I109-I107)</f>
        <v/>
      </c>
      <c r="J110">
        <f>-MIN(0,J104+J109-J107)</f>
        <v/>
      </c>
      <c r="K110">
        <f>-MIN(0,K104+K109-K107)</f>
        <v/>
      </c>
      <c r="L110">
        <f>-MIN(0,L104+L109-L107)</f>
        <v/>
      </c>
      <c r="M110">
        <f>-MIN(0,M104+M109-M107)</f>
        <v/>
      </c>
      <c r="N110">
        <f>-MIN(0,N104+N109-N107)</f>
        <v/>
      </c>
      <c r="O110">
        <f>-MIN(0,O104+O109-O107)</f>
        <v/>
      </c>
      <c r="P110">
        <f>-MIN(0,P104+P109-P107)</f>
        <v/>
      </c>
      <c r="Q110">
        <f>-MIN(0,Q104+Q109-Q107)</f>
        <v/>
      </c>
    </row>
    <row r="111">
      <c r="A111" t="inlineStr"/>
      <c r="B111" t="inlineStr"/>
      <c r="C111" t="inlineStr">
        <is>
          <t>DC</t>
        </is>
      </c>
      <c r="D111" t="inlineStr">
        <is>
          <t>End. Inventory</t>
        </is>
      </c>
      <c r="E111" t="inlineStr">
        <is>
          <t>Inv</t>
        </is>
      </c>
      <c r="F111">
        <f>MAX(F104+F109-F107,0)</f>
        <v/>
      </c>
      <c r="G111">
        <f>MAX(G104+G109-G107,0)</f>
        <v/>
      </c>
      <c r="H111">
        <f>MAX(H104+H109-H107,0)</f>
        <v/>
      </c>
      <c r="I111">
        <f>MAX(I104+I109-I107,0)</f>
        <v/>
      </c>
      <c r="J111">
        <f>MAX(J104+J109-J107,0)</f>
        <v/>
      </c>
      <c r="K111">
        <f>MAX(K104+K109-K107,0)</f>
        <v/>
      </c>
      <c r="L111">
        <f>MAX(L104+L109-L107,0)</f>
        <v/>
      </c>
      <c r="M111">
        <f>MAX(M104+M109-M107,0)</f>
        <v/>
      </c>
      <c r="N111">
        <f>MAX(N104+N109-N107,0)</f>
        <v/>
      </c>
      <c r="O111">
        <f>MAX(O104+O109-O107,0)</f>
        <v/>
      </c>
      <c r="P111">
        <f>MAX(P104+P109-P107,0)</f>
        <v/>
      </c>
      <c r="Q111">
        <f>MAX(Q104+Q109-Q107,0)</f>
        <v/>
      </c>
    </row>
    <row r="112">
      <c r="A112" t="inlineStr"/>
      <c r="B112" t="inlineStr"/>
      <c r="C112" t="inlineStr">
        <is>
          <t>DC</t>
        </is>
      </c>
      <c r="D112" t="inlineStr">
        <is>
          <t>MSTN Thresold</t>
        </is>
      </c>
      <c r="E112" t="inlineStr">
        <is>
          <t>Inv</t>
        </is>
      </c>
      <c r="F112" t="n">
        <v>322</v>
      </c>
      <c r="G112" t="n">
        <v>322</v>
      </c>
      <c r="H112" t="n">
        <v>322</v>
      </c>
      <c r="I112" t="n">
        <v>322</v>
      </c>
      <c r="J112" t="n">
        <v>322</v>
      </c>
      <c r="K112" t="n">
        <v>322</v>
      </c>
      <c r="L112" t="n">
        <v>322</v>
      </c>
      <c r="M112" t="n">
        <v>322</v>
      </c>
      <c r="N112" t="n">
        <v>322</v>
      </c>
      <c r="O112" t="n">
        <v>322</v>
      </c>
      <c r="P112" t="n">
        <v>322</v>
      </c>
      <c r="Q112" t="n">
        <v>322</v>
      </c>
    </row>
    <row r="113">
      <c r="A113" t="inlineStr"/>
      <c r="B113" t="inlineStr"/>
      <c r="C113" t="inlineStr">
        <is>
          <t>DC</t>
        </is>
      </c>
      <c r="D113" t="inlineStr">
        <is>
          <t>ESTN Thresold</t>
        </is>
      </c>
      <c r="E113" t="inlineStr">
        <is>
          <t>Inv</t>
        </is>
      </c>
      <c r="F113" t="n">
        <v>1190</v>
      </c>
      <c r="G113" t="n">
        <v>1190</v>
      </c>
      <c r="H113" t="n">
        <v>1190</v>
      </c>
      <c r="I113" t="n">
        <v>1190</v>
      </c>
      <c r="J113" t="n">
        <v>1190</v>
      </c>
      <c r="K113" t="n">
        <v>1190</v>
      </c>
      <c r="L113" t="n">
        <v>1190</v>
      </c>
      <c r="M113" t="n">
        <v>1190</v>
      </c>
      <c r="N113" t="n">
        <v>1190</v>
      </c>
      <c r="O113" t="n">
        <v>1190</v>
      </c>
      <c r="P113" t="n">
        <v>1190</v>
      </c>
      <c r="Q113" t="n">
        <v>1190</v>
      </c>
    </row>
    <row r="114">
      <c r="A114" t="inlineStr"/>
      <c r="B114" t="inlineStr"/>
      <c r="C114" t="inlineStr">
        <is>
          <t>DC</t>
        </is>
      </c>
      <c r="D114" t="inlineStr">
        <is>
          <t>MSTN%</t>
        </is>
      </c>
      <c r="E114" t="inlineStr"/>
      <c r="F114" s="2">
        <f>IFERROR(MIN(F111,F112)/F112,1)</f>
        <v/>
      </c>
      <c r="G114" s="2">
        <f>IFERROR(MIN(G111,G112)/G112,1)</f>
        <v/>
      </c>
      <c r="H114" s="2">
        <f>IFERROR(MIN(H111,H112)/H112,1)</f>
        <v/>
      </c>
      <c r="I114" s="2">
        <f>IFERROR(MIN(I111,I112)/I112,1)</f>
        <v/>
      </c>
      <c r="J114" s="2">
        <f>IFERROR(MIN(J111,J112)/J112,1)</f>
        <v/>
      </c>
      <c r="K114" s="2">
        <f>IFERROR(MIN(K111,K112)/K112,1)</f>
        <v/>
      </c>
      <c r="L114" s="2">
        <f>IFERROR(MIN(L111,L112)/L112,1)</f>
        <v/>
      </c>
      <c r="M114" s="2">
        <f>IFERROR(MIN(M111,M112)/M112,1)</f>
        <v/>
      </c>
      <c r="N114" s="2">
        <f>IFERROR(MIN(N111,N112)/N112,1)</f>
        <v/>
      </c>
      <c r="O114" s="2">
        <f>IFERROR(MIN(O111,O112)/O112,1)</f>
        <v/>
      </c>
      <c r="P114" s="2">
        <f>IFERROR(MIN(P111,P112)/P112,1)</f>
        <v/>
      </c>
      <c r="Q114" s="2">
        <f>IFERROR(MIN(Q111,Q112)/Q112,1)</f>
        <v/>
      </c>
    </row>
    <row r="115">
      <c r="A115" t="inlineStr"/>
      <c r="B115" t="inlineStr"/>
      <c r="C115" t="inlineStr">
        <is>
          <t>DC</t>
        </is>
      </c>
      <c r="D115" t="inlineStr">
        <is>
          <t>ESTN%</t>
        </is>
      </c>
      <c r="E115" t="inlineStr"/>
      <c r="F115" s="2">
        <f>MAX(F111-F113,0)/F113</f>
        <v/>
      </c>
      <c r="G115" s="2">
        <f>MAX(G111-G113,0)/G113</f>
        <v/>
      </c>
      <c r="H115" s="2">
        <f>MAX(H111-H113,0)/H113</f>
        <v/>
      </c>
      <c r="I115" s="2">
        <f>MAX(I111-I113,0)/I113</f>
        <v/>
      </c>
      <c r="J115" s="2">
        <f>MAX(J111-J113,0)/J113</f>
        <v/>
      </c>
      <c r="K115" s="2">
        <f>MAX(K111-K113,0)/K113</f>
        <v/>
      </c>
      <c r="L115" s="2">
        <f>MAX(L111-L113,0)/L113</f>
        <v/>
      </c>
      <c r="M115" s="2">
        <f>MAX(M111-M113,0)/M113</f>
        <v/>
      </c>
      <c r="N115" s="2">
        <f>MAX(N111-N113,0)/N113</f>
        <v/>
      </c>
      <c r="O115" s="2">
        <f>MAX(O111-O113,0)/O113</f>
        <v/>
      </c>
      <c r="P115" s="2">
        <f>MAX(P111-P113,0)/P113</f>
        <v/>
      </c>
      <c r="Q115" s="2">
        <f>MAX(Q111-Q113,0)/Q113</f>
        <v/>
      </c>
    </row>
    <row r="116">
      <c r="A116" t="inlineStr"/>
      <c r="B116" t="inlineStr"/>
      <c r="C116" t="inlineStr">
        <is>
          <t>DC</t>
        </is>
      </c>
      <c r="D116" t="inlineStr">
        <is>
          <t>Shortage</t>
        </is>
      </c>
      <c r="E116" t="inlineStr">
        <is>
          <t>Inv</t>
        </is>
      </c>
      <c r="F116">
        <f>MAX(0,F112-F111)</f>
        <v/>
      </c>
      <c r="G116">
        <f>MAX(0,G112-G111)</f>
        <v/>
      </c>
      <c r="H116">
        <f>MAX(0,H112-H111)</f>
        <v/>
      </c>
      <c r="I116">
        <f>MAX(0,I112-I111)</f>
        <v/>
      </c>
      <c r="J116">
        <f>MAX(0,J112-J111)</f>
        <v/>
      </c>
      <c r="K116">
        <f>MAX(0,K112-K111)</f>
        <v/>
      </c>
      <c r="L116">
        <f>MAX(0,L112-L111)</f>
        <v/>
      </c>
      <c r="M116">
        <f>MAX(0,M112-M111)</f>
        <v/>
      </c>
      <c r="N116">
        <f>MAX(0,N112-N111)</f>
        <v/>
      </c>
      <c r="O116">
        <f>MAX(0,O112-O111)</f>
        <v/>
      </c>
      <c r="P116">
        <f>MAX(0,P112-P111)</f>
        <v/>
      </c>
      <c r="Q116">
        <f>MAX(0,Q112-Q111)</f>
        <v/>
      </c>
    </row>
    <row r="117">
      <c r="A117" t="inlineStr"/>
      <c r="B117" t="inlineStr"/>
      <c r="C117" t="inlineStr">
        <is>
          <t>DC</t>
        </is>
      </c>
      <c r="D117" t="inlineStr">
        <is>
          <t>Excess</t>
        </is>
      </c>
      <c r="E117" t="inlineStr">
        <is>
          <t>Inv</t>
        </is>
      </c>
      <c r="F117">
        <f>MAX(0,F111-F113)</f>
        <v/>
      </c>
      <c r="G117">
        <f>MAX(0,G111-G113)</f>
        <v/>
      </c>
      <c r="H117">
        <f>MAX(0,H111-H113)</f>
        <v/>
      </c>
      <c r="I117">
        <f>MAX(0,I111-I113)</f>
        <v/>
      </c>
      <c r="J117">
        <f>MAX(0,J111-J113)</f>
        <v/>
      </c>
      <c r="K117">
        <f>MAX(0,K111-K113)</f>
        <v/>
      </c>
      <c r="L117">
        <f>MAX(0,L111-L113)</f>
        <v/>
      </c>
      <c r="M117">
        <f>MAX(0,M111-M113)</f>
        <v/>
      </c>
      <c r="N117">
        <f>MAX(0,N111-N113)</f>
        <v/>
      </c>
      <c r="O117">
        <f>MAX(0,O111-O113)</f>
        <v/>
      </c>
      <c r="P117">
        <f>MAX(0,P111-P113)</f>
        <v/>
      </c>
      <c r="Q117">
        <f>MAX(0,Q111-Q113)</f>
        <v/>
      </c>
    </row>
    <row r="118">
      <c r="A118" t="inlineStr"/>
      <c r="B118" t="inlineStr"/>
      <c r="C118" t="inlineStr">
        <is>
          <t>DC</t>
        </is>
      </c>
      <c r="D118" t="inlineStr">
        <is>
          <t>Out of stock Value($)</t>
        </is>
      </c>
      <c r="E118" t="inlineStr">
        <is>
          <t>Val</t>
        </is>
      </c>
    </row>
    <row r="119">
      <c r="A119" t="inlineStr"/>
      <c r="B119" t="inlineStr"/>
      <c r="C119" t="inlineStr">
        <is>
          <t>DC</t>
        </is>
      </c>
      <c r="D119" t="inlineStr">
        <is>
          <t>Excess and over($)</t>
        </is>
      </c>
      <c r="E119" t="inlineStr">
        <is>
          <t>Val</t>
        </is>
      </c>
    </row>
    <row r="120"/>
    <row r="121">
      <c r="A121" t="inlineStr">
        <is>
          <t>SKU_0002</t>
        </is>
      </c>
      <c r="B121" t="inlineStr">
        <is>
          <t>DC4</t>
        </is>
      </c>
      <c r="C121" t="inlineStr">
        <is>
          <t>DC</t>
        </is>
      </c>
      <c r="D121" t="inlineStr">
        <is>
          <t>Start Inventory</t>
        </is>
      </c>
      <c r="E121" t="inlineStr">
        <is>
          <t>Inv</t>
        </is>
      </c>
      <c r="F121" t="n">
        <v>35</v>
      </c>
      <c r="G121">
        <f>F128</f>
        <v/>
      </c>
      <c r="H121">
        <f>G128</f>
        <v/>
      </c>
      <c r="I121">
        <f>H128</f>
        <v/>
      </c>
      <c r="J121">
        <f>I128</f>
        <v/>
      </c>
      <c r="K121">
        <f>J128</f>
        <v/>
      </c>
      <c r="L121">
        <f>K128</f>
        <v/>
      </c>
      <c r="M121">
        <f>L128</f>
        <v/>
      </c>
      <c r="N121">
        <f>M128</f>
        <v/>
      </c>
      <c r="O121">
        <f>N128</f>
        <v/>
      </c>
      <c r="P121">
        <f>O128</f>
        <v/>
      </c>
      <c r="Q121">
        <f>P128</f>
        <v/>
      </c>
    </row>
    <row r="122">
      <c r="A122" t="inlineStr"/>
      <c r="B122" t="inlineStr"/>
      <c r="C122" t="inlineStr">
        <is>
          <t>DC</t>
        </is>
      </c>
      <c r="D122" t="inlineStr">
        <is>
          <t>Total Forecast/Order</t>
        </is>
      </c>
      <c r="E122" t="inlineStr">
        <is>
          <t>Demand</t>
        </is>
      </c>
      <c r="F122" t="n">
        <v>107</v>
      </c>
      <c r="G122" t="n">
        <v>189</v>
      </c>
      <c r="H122" t="n">
        <v>105</v>
      </c>
      <c r="I122" t="n">
        <v>137</v>
      </c>
      <c r="J122" t="n">
        <v>140</v>
      </c>
      <c r="K122" t="n">
        <v>163</v>
      </c>
      <c r="L122" t="n">
        <v>156</v>
      </c>
      <c r="M122" t="n">
        <v>123</v>
      </c>
      <c r="N122" t="n">
        <v>108</v>
      </c>
      <c r="O122" t="n">
        <v>141</v>
      </c>
      <c r="P122" t="n">
        <v>124</v>
      </c>
      <c r="Q122" t="n">
        <v>81</v>
      </c>
    </row>
    <row r="123">
      <c r="A123" t="inlineStr"/>
      <c r="B123" t="inlineStr"/>
      <c r="C123" t="inlineStr">
        <is>
          <t>DC</t>
        </is>
      </c>
      <c r="D123" t="inlineStr">
        <is>
          <t>Start Backorder</t>
        </is>
      </c>
      <c r="E123" t="inlineStr">
        <is>
          <t>Demand</t>
        </is>
      </c>
      <c r="F123" t="n">
        <v>0</v>
      </c>
      <c r="G123">
        <f>F127</f>
        <v/>
      </c>
      <c r="H123">
        <f>G127</f>
        <v/>
      </c>
      <c r="I123">
        <f>H127</f>
        <v/>
      </c>
      <c r="J123">
        <f>I127</f>
        <v/>
      </c>
      <c r="K123">
        <f>J127</f>
        <v/>
      </c>
      <c r="L123">
        <f>K127</f>
        <v/>
      </c>
      <c r="M123">
        <f>L127</f>
        <v/>
      </c>
      <c r="N123">
        <f>M127</f>
        <v/>
      </c>
      <c r="O123">
        <f>N127</f>
        <v/>
      </c>
      <c r="P123">
        <f>O127</f>
        <v/>
      </c>
      <c r="Q123">
        <f>P127</f>
        <v/>
      </c>
    </row>
    <row r="124">
      <c r="A124" t="inlineStr"/>
      <c r="B124" t="inlineStr"/>
      <c r="C124" t="inlineStr">
        <is>
          <t>DC</t>
        </is>
      </c>
      <c r="D124" t="inlineStr">
        <is>
          <t>Total Demand</t>
        </is>
      </c>
      <c r="E124" t="inlineStr">
        <is>
          <t>Demand</t>
        </is>
      </c>
      <c r="F124">
        <f>F122+F123</f>
        <v/>
      </c>
      <c r="G124">
        <f>G122+G123</f>
        <v/>
      </c>
      <c r="H124">
        <f>H122+H123</f>
        <v/>
      </c>
      <c r="I124">
        <f>I122+I123</f>
        <v/>
      </c>
      <c r="J124">
        <f>J122+J123</f>
        <v/>
      </c>
      <c r="K124">
        <f>K122+K123</f>
        <v/>
      </c>
      <c r="L124">
        <f>L122+L123</f>
        <v/>
      </c>
      <c r="M124">
        <f>M122+M123</f>
        <v/>
      </c>
      <c r="N124">
        <f>N122+N123</f>
        <v/>
      </c>
      <c r="O124">
        <f>O122+O123</f>
        <v/>
      </c>
      <c r="P124">
        <f>P122+P123</f>
        <v/>
      </c>
      <c r="Q124">
        <f>Q122+Q123</f>
        <v/>
      </c>
    </row>
    <row r="125">
      <c r="A125" t="inlineStr"/>
      <c r="B125" t="inlineStr"/>
      <c r="C125" t="inlineStr">
        <is>
          <t>DC</t>
        </is>
      </c>
      <c r="D125" t="inlineStr">
        <is>
          <t>Dist. Receipt Planned</t>
        </is>
      </c>
      <c r="E125" t="inlineStr">
        <is>
          <t>Supply</t>
        </is>
      </c>
      <c r="F125" t="n">
        <v>0</v>
      </c>
      <c r="G125" t="n">
        <v>336</v>
      </c>
      <c r="H125" t="n">
        <v>0</v>
      </c>
      <c r="I125" t="n">
        <v>0</v>
      </c>
      <c r="J125" t="n">
        <v>334</v>
      </c>
      <c r="K125" t="n">
        <v>0</v>
      </c>
      <c r="L125" t="n">
        <v>0</v>
      </c>
      <c r="M125" t="n">
        <v>0</v>
      </c>
      <c r="N125" t="n">
        <v>239</v>
      </c>
      <c r="O125" t="n">
        <v>0</v>
      </c>
      <c r="P125" t="n">
        <v>0</v>
      </c>
      <c r="Q125" t="n">
        <v>327</v>
      </c>
    </row>
    <row r="126">
      <c r="A126" t="inlineStr"/>
      <c r="B126" t="inlineStr"/>
      <c r="C126" t="inlineStr">
        <is>
          <t>DC</t>
        </is>
      </c>
      <c r="D126" t="inlineStr">
        <is>
          <t>Total Supply</t>
        </is>
      </c>
      <c r="E126" t="inlineStr">
        <is>
          <t>Supply</t>
        </is>
      </c>
      <c r="F126">
        <f>F125</f>
        <v/>
      </c>
      <c r="G126">
        <f>G125</f>
        <v/>
      </c>
      <c r="H126">
        <f>H125</f>
        <v/>
      </c>
      <c r="I126">
        <f>I125</f>
        <v/>
      </c>
      <c r="J126">
        <f>J125</f>
        <v/>
      </c>
      <c r="K126">
        <f>K125</f>
        <v/>
      </c>
      <c r="L126">
        <f>L125</f>
        <v/>
      </c>
      <c r="M126">
        <f>M125</f>
        <v/>
      </c>
      <c r="N126">
        <f>N125</f>
        <v/>
      </c>
      <c r="O126">
        <f>O125</f>
        <v/>
      </c>
      <c r="P126">
        <f>P125</f>
        <v/>
      </c>
      <c r="Q126">
        <f>Q125</f>
        <v/>
      </c>
    </row>
    <row r="127">
      <c r="A127" t="inlineStr"/>
      <c r="B127" t="inlineStr"/>
      <c r="C127" t="inlineStr">
        <is>
          <t>DC</t>
        </is>
      </c>
      <c r="D127" t="inlineStr">
        <is>
          <t>End. Backorder</t>
        </is>
      </c>
      <c r="E127" t="inlineStr">
        <is>
          <t>Demand</t>
        </is>
      </c>
      <c r="F127">
        <f>-MIN(0,F121+F126-F124)</f>
        <v/>
      </c>
      <c r="G127">
        <f>-MIN(0,G121+G126-G124)</f>
        <v/>
      </c>
      <c r="H127">
        <f>-MIN(0,H121+H126-H124)</f>
        <v/>
      </c>
      <c r="I127">
        <f>-MIN(0,I121+I126-I124)</f>
        <v/>
      </c>
      <c r="J127">
        <f>-MIN(0,J121+J126-J124)</f>
        <v/>
      </c>
      <c r="K127">
        <f>-MIN(0,K121+K126-K124)</f>
        <v/>
      </c>
      <c r="L127">
        <f>-MIN(0,L121+L126-L124)</f>
        <v/>
      </c>
      <c r="M127">
        <f>-MIN(0,M121+M126-M124)</f>
        <v/>
      </c>
      <c r="N127">
        <f>-MIN(0,N121+N126-N124)</f>
        <v/>
      </c>
      <c r="O127">
        <f>-MIN(0,O121+O126-O124)</f>
        <v/>
      </c>
      <c r="P127">
        <f>-MIN(0,P121+P126-P124)</f>
        <v/>
      </c>
      <c r="Q127">
        <f>-MIN(0,Q121+Q126-Q124)</f>
        <v/>
      </c>
    </row>
    <row r="128">
      <c r="A128" t="inlineStr"/>
      <c r="B128" t="inlineStr"/>
      <c r="C128" t="inlineStr">
        <is>
          <t>DC</t>
        </is>
      </c>
      <c r="D128" t="inlineStr">
        <is>
          <t>End. Inventory</t>
        </is>
      </c>
      <c r="E128" t="inlineStr">
        <is>
          <t>Inv</t>
        </is>
      </c>
      <c r="F128">
        <f>MAX(F121+F126-F124,0)</f>
        <v/>
      </c>
      <c r="G128">
        <f>MAX(G121+G126-G124,0)</f>
        <v/>
      </c>
      <c r="H128">
        <f>MAX(H121+H126-H124,0)</f>
        <v/>
      </c>
      <c r="I128">
        <f>MAX(I121+I126-I124,0)</f>
        <v/>
      </c>
      <c r="J128">
        <f>MAX(J121+J126-J124,0)</f>
        <v/>
      </c>
      <c r="K128">
        <f>MAX(K121+K126-K124,0)</f>
        <v/>
      </c>
      <c r="L128">
        <f>MAX(L121+L126-L124,0)</f>
        <v/>
      </c>
      <c r="M128">
        <f>MAX(M121+M126-M124,0)</f>
        <v/>
      </c>
      <c r="N128">
        <f>MAX(N121+N126-N124,0)</f>
        <v/>
      </c>
      <c r="O128">
        <f>MAX(O121+O126-O124,0)</f>
        <v/>
      </c>
      <c r="P128">
        <f>MAX(P121+P126-P124,0)</f>
        <v/>
      </c>
      <c r="Q128">
        <f>MAX(Q121+Q126-Q124,0)</f>
        <v/>
      </c>
    </row>
    <row r="129">
      <c r="A129" t="inlineStr"/>
      <c r="B129" t="inlineStr"/>
      <c r="C129" t="inlineStr">
        <is>
          <t>DC</t>
        </is>
      </c>
      <c r="D129" t="inlineStr">
        <is>
          <t>MSTN Thresold</t>
        </is>
      </c>
      <c r="E129" t="inlineStr">
        <is>
          <t>Inv</t>
        </is>
      </c>
      <c r="F129" t="n">
        <v>458</v>
      </c>
      <c r="G129" t="n">
        <v>458</v>
      </c>
      <c r="H129" t="n">
        <v>458</v>
      </c>
      <c r="I129" t="n">
        <v>458</v>
      </c>
      <c r="J129" t="n">
        <v>458</v>
      </c>
      <c r="K129" t="n">
        <v>458</v>
      </c>
      <c r="L129" t="n">
        <v>458</v>
      </c>
      <c r="M129" t="n">
        <v>458</v>
      </c>
      <c r="N129" t="n">
        <v>458</v>
      </c>
      <c r="O129" t="n">
        <v>458</v>
      </c>
      <c r="P129" t="n">
        <v>458</v>
      </c>
      <c r="Q129" t="n">
        <v>458</v>
      </c>
    </row>
    <row r="130">
      <c r="A130" t="inlineStr"/>
      <c r="B130" t="inlineStr"/>
      <c r="C130" t="inlineStr">
        <is>
          <t>DC</t>
        </is>
      </c>
      <c r="D130" t="inlineStr">
        <is>
          <t>ESTN Thresold</t>
        </is>
      </c>
      <c r="E130" t="inlineStr">
        <is>
          <t>Inv</t>
        </is>
      </c>
      <c r="F130" t="n">
        <v>1476</v>
      </c>
      <c r="G130" t="n">
        <v>1476</v>
      </c>
      <c r="H130" t="n">
        <v>1476</v>
      </c>
      <c r="I130" t="n">
        <v>1476</v>
      </c>
      <c r="J130" t="n">
        <v>1476</v>
      </c>
      <c r="K130" t="n">
        <v>1476</v>
      </c>
      <c r="L130" t="n">
        <v>1476</v>
      </c>
      <c r="M130" t="n">
        <v>1476</v>
      </c>
      <c r="N130" t="n">
        <v>1476</v>
      </c>
      <c r="O130" t="n">
        <v>1476</v>
      </c>
      <c r="P130" t="n">
        <v>1476</v>
      </c>
      <c r="Q130" t="n">
        <v>1476</v>
      </c>
    </row>
    <row r="131">
      <c r="A131" t="inlineStr"/>
      <c r="B131" t="inlineStr"/>
      <c r="C131" t="inlineStr">
        <is>
          <t>DC</t>
        </is>
      </c>
      <c r="D131" t="inlineStr">
        <is>
          <t>MSTN%</t>
        </is>
      </c>
      <c r="E131" t="inlineStr"/>
      <c r="F131" s="2">
        <f>IFERROR(MIN(F128,F129)/F129,1)</f>
        <v/>
      </c>
      <c r="G131" s="2">
        <f>IFERROR(MIN(G128,G129)/G129,1)</f>
        <v/>
      </c>
      <c r="H131" s="2">
        <f>IFERROR(MIN(H128,H129)/H129,1)</f>
        <v/>
      </c>
      <c r="I131" s="2">
        <f>IFERROR(MIN(I128,I129)/I129,1)</f>
        <v/>
      </c>
      <c r="J131" s="2">
        <f>IFERROR(MIN(J128,J129)/J129,1)</f>
        <v/>
      </c>
      <c r="K131" s="2">
        <f>IFERROR(MIN(K128,K129)/K129,1)</f>
        <v/>
      </c>
      <c r="L131" s="2">
        <f>IFERROR(MIN(L128,L129)/L129,1)</f>
        <v/>
      </c>
      <c r="M131" s="2">
        <f>IFERROR(MIN(M128,M129)/M129,1)</f>
        <v/>
      </c>
      <c r="N131" s="2">
        <f>IFERROR(MIN(N128,N129)/N129,1)</f>
        <v/>
      </c>
      <c r="O131" s="2">
        <f>IFERROR(MIN(O128,O129)/O129,1)</f>
        <v/>
      </c>
      <c r="P131" s="2">
        <f>IFERROR(MIN(P128,P129)/P129,1)</f>
        <v/>
      </c>
      <c r="Q131" s="2">
        <f>IFERROR(MIN(Q128,Q129)/Q129,1)</f>
        <v/>
      </c>
    </row>
    <row r="132">
      <c r="A132" t="inlineStr"/>
      <c r="B132" t="inlineStr"/>
      <c r="C132" t="inlineStr">
        <is>
          <t>DC</t>
        </is>
      </c>
      <c r="D132" t="inlineStr">
        <is>
          <t>ESTN%</t>
        </is>
      </c>
      <c r="E132" t="inlineStr"/>
      <c r="F132" s="2">
        <f>MAX(F128-F130,0)/F130</f>
        <v/>
      </c>
      <c r="G132" s="2">
        <f>MAX(G128-G130,0)/G130</f>
        <v/>
      </c>
      <c r="H132" s="2">
        <f>MAX(H128-H130,0)/H130</f>
        <v/>
      </c>
      <c r="I132" s="2">
        <f>MAX(I128-I130,0)/I130</f>
        <v/>
      </c>
      <c r="J132" s="2">
        <f>MAX(J128-J130,0)/J130</f>
        <v/>
      </c>
      <c r="K132" s="2">
        <f>MAX(K128-K130,0)/K130</f>
        <v/>
      </c>
      <c r="L132" s="2">
        <f>MAX(L128-L130,0)/L130</f>
        <v/>
      </c>
      <c r="M132" s="2">
        <f>MAX(M128-M130,0)/M130</f>
        <v/>
      </c>
      <c r="N132" s="2">
        <f>MAX(N128-N130,0)/N130</f>
        <v/>
      </c>
      <c r="O132" s="2">
        <f>MAX(O128-O130,0)/O130</f>
        <v/>
      </c>
      <c r="P132" s="2">
        <f>MAX(P128-P130,0)/P130</f>
        <v/>
      </c>
      <c r="Q132" s="2">
        <f>MAX(Q128-Q130,0)/Q130</f>
        <v/>
      </c>
    </row>
    <row r="133">
      <c r="A133" t="inlineStr"/>
      <c r="B133" t="inlineStr"/>
      <c r="C133" t="inlineStr">
        <is>
          <t>DC</t>
        </is>
      </c>
      <c r="D133" t="inlineStr">
        <is>
          <t>Shortage</t>
        </is>
      </c>
      <c r="E133" t="inlineStr">
        <is>
          <t>Inv</t>
        </is>
      </c>
      <c r="F133">
        <f>MAX(0,F129-F128)</f>
        <v/>
      </c>
      <c r="G133">
        <f>MAX(0,G129-G128)</f>
        <v/>
      </c>
      <c r="H133">
        <f>MAX(0,H129-H128)</f>
        <v/>
      </c>
      <c r="I133">
        <f>MAX(0,I129-I128)</f>
        <v/>
      </c>
      <c r="J133">
        <f>MAX(0,J129-J128)</f>
        <v/>
      </c>
      <c r="K133">
        <f>MAX(0,K129-K128)</f>
        <v/>
      </c>
      <c r="L133">
        <f>MAX(0,L129-L128)</f>
        <v/>
      </c>
      <c r="M133">
        <f>MAX(0,M129-M128)</f>
        <v/>
      </c>
      <c r="N133">
        <f>MAX(0,N129-N128)</f>
        <v/>
      </c>
      <c r="O133">
        <f>MAX(0,O129-O128)</f>
        <v/>
      </c>
      <c r="P133">
        <f>MAX(0,P129-P128)</f>
        <v/>
      </c>
      <c r="Q133">
        <f>MAX(0,Q129-Q128)</f>
        <v/>
      </c>
    </row>
    <row r="134">
      <c r="A134" t="inlineStr"/>
      <c r="B134" t="inlineStr"/>
      <c r="C134" t="inlineStr">
        <is>
          <t>DC</t>
        </is>
      </c>
      <c r="D134" t="inlineStr">
        <is>
          <t>Excess</t>
        </is>
      </c>
      <c r="E134" t="inlineStr">
        <is>
          <t>Inv</t>
        </is>
      </c>
      <c r="F134">
        <f>MAX(0,F128-F130)</f>
        <v/>
      </c>
      <c r="G134">
        <f>MAX(0,G128-G130)</f>
        <v/>
      </c>
      <c r="H134">
        <f>MAX(0,H128-H130)</f>
        <v/>
      </c>
      <c r="I134">
        <f>MAX(0,I128-I130)</f>
        <v/>
      </c>
      <c r="J134">
        <f>MAX(0,J128-J130)</f>
        <v/>
      </c>
      <c r="K134">
        <f>MAX(0,K128-K130)</f>
        <v/>
      </c>
      <c r="L134">
        <f>MAX(0,L128-L130)</f>
        <v/>
      </c>
      <c r="M134">
        <f>MAX(0,M128-M130)</f>
        <v/>
      </c>
      <c r="N134">
        <f>MAX(0,N128-N130)</f>
        <v/>
      </c>
      <c r="O134">
        <f>MAX(0,O128-O130)</f>
        <v/>
      </c>
      <c r="P134">
        <f>MAX(0,P128-P130)</f>
        <v/>
      </c>
      <c r="Q134">
        <f>MAX(0,Q128-Q130)</f>
        <v/>
      </c>
    </row>
    <row r="135">
      <c r="A135" t="inlineStr"/>
      <c r="B135" t="inlineStr"/>
      <c r="C135" t="inlineStr">
        <is>
          <t>DC</t>
        </is>
      </c>
      <c r="D135" t="inlineStr">
        <is>
          <t>Out of stock Value($)</t>
        </is>
      </c>
      <c r="E135" t="inlineStr">
        <is>
          <t>Val</t>
        </is>
      </c>
    </row>
    <row r="136">
      <c r="A136" t="inlineStr"/>
      <c r="B136" t="inlineStr"/>
      <c r="C136" t="inlineStr">
        <is>
          <t>DC</t>
        </is>
      </c>
      <c r="D136" t="inlineStr">
        <is>
          <t>Excess and over($)</t>
        </is>
      </c>
      <c r="E136" t="inlineStr">
        <is>
          <t>Val</t>
        </is>
      </c>
    </row>
    <row r="137"/>
    <row r="138">
      <c r="A138" t="inlineStr">
        <is>
          <t>SKU_0002</t>
        </is>
      </c>
      <c r="B138" t="inlineStr">
        <is>
          <t>DC5</t>
        </is>
      </c>
      <c r="C138" t="inlineStr">
        <is>
          <t>DC</t>
        </is>
      </c>
      <c r="D138" t="inlineStr">
        <is>
          <t>Start Inventory</t>
        </is>
      </c>
      <c r="E138" t="inlineStr">
        <is>
          <t>Inv</t>
        </is>
      </c>
      <c r="F138" t="n">
        <v>408</v>
      </c>
      <c r="G138">
        <f>F145</f>
        <v/>
      </c>
      <c r="H138">
        <f>G145</f>
        <v/>
      </c>
      <c r="I138">
        <f>H145</f>
        <v/>
      </c>
      <c r="J138">
        <f>I145</f>
        <v/>
      </c>
      <c r="K138">
        <f>J145</f>
        <v/>
      </c>
      <c r="L138">
        <f>K145</f>
        <v/>
      </c>
      <c r="M138">
        <f>L145</f>
        <v/>
      </c>
      <c r="N138">
        <f>M145</f>
        <v/>
      </c>
      <c r="O138">
        <f>N145</f>
        <v/>
      </c>
      <c r="P138">
        <f>O145</f>
        <v/>
      </c>
      <c r="Q138">
        <f>P145</f>
        <v/>
      </c>
    </row>
    <row r="139">
      <c r="A139" t="inlineStr"/>
      <c r="B139" t="inlineStr"/>
      <c r="C139" t="inlineStr">
        <is>
          <t>DC</t>
        </is>
      </c>
      <c r="D139" t="inlineStr">
        <is>
          <t>Total Forecast/Order</t>
        </is>
      </c>
      <c r="E139" t="inlineStr">
        <is>
          <t>Demand</t>
        </is>
      </c>
      <c r="F139" t="n">
        <v>36</v>
      </c>
      <c r="G139" t="n">
        <v>67</v>
      </c>
      <c r="H139" t="n">
        <v>46</v>
      </c>
      <c r="I139" t="n">
        <v>42</v>
      </c>
      <c r="J139" t="n">
        <v>62</v>
      </c>
      <c r="K139" t="n">
        <v>61</v>
      </c>
      <c r="L139" t="n">
        <v>46</v>
      </c>
      <c r="M139" t="n">
        <v>54</v>
      </c>
      <c r="N139" t="n">
        <v>34</v>
      </c>
      <c r="O139" t="n">
        <v>62</v>
      </c>
      <c r="P139" t="n">
        <v>47</v>
      </c>
      <c r="Q139" t="n">
        <v>44</v>
      </c>
    </row>
    <row r="140">
      <c r="A140" t="inlineStr"/>
      <c r="B140" t="inlineStr"/>
      <c r="C140" t="inlineStr">
        <is>
          <t>DC</t>
        </is>
      </c>
      <c r="D140" t="inlineStr">
        <is>
          <t>Start Backorder</t>
        </is>
      </c>
      <c r="E140" t="inlineStr">
        <is>
          <t>Demand</t>
        </is>
      </c>
      <c r="F140" t="n">
        <v>0</v>
      </c>
      <c r="G140">
        <f>F144</f>
        <v/>
      </c>
      <c r="H140">
        <f>G144</f>
        <v/>
      </c>
      <c r="I140">
        <f>H144</f>
        <v/>
      </c>
      <c r="J140">
        <f>I144</f>
        <v/>
      </c>
      <c r="K140">
        <f>J144</f>
        <v/>
      </c>
      <c r="L140">
        <f>K144</f>
        <v/>
      </c>
      <c r="M140">
        <f>L144</f>
        <v/>
      </c>
      <c r="N140">
        <f>M144</f>
        <v/>
      </c>
      <c r="O140">
        <f>N144</f>
        <v/>
      </c>
      <c r="P140">
        <f>O144</f>
        <v/>
      </c>
      <c r="Q140">
        <f>P144</f>
        <v/>
      </c>
    </row>
    <row r="141">
      <c r="A141" t="inlineStr"/>
      <c r="B141" t="inlineStr"/>
      <c r="C141" t="inlineStr">
        <is>
          <t>DC</t>
        </is>
      </c>
      <c r="D141" t="inlineStr">
        <is>
          <t>Total Demand</t>
        </is>
      </c>
      <c r="E141" t="inlineStr">
        <is>
          <t>Demand</t>
        </is>
      </c>
      <c r="F141">
        <f>F139+F140</f>
        <v/>
      </c>
      <c r="G141">
        <f>G139+G140</f>
        <v/>
      </c>
      <c r="H141">
        <f>H139+H140</f>
        <v/>
      </c>
      <c r="I141">
        <f>I139+I140</f>
        <v/>
      </c>
      <c r="J141">
        <f>J139+J140</f>
        <v/>
      </c>
      <c r="K141">
        <f>K139+K140</f>
        <v/>
      </c>
      <c r="L141">
        <f>L139+L140</f>
        <v/>
      </c>
      <c r="M141">
        <f>M139+M140</f>
        <v/>
      </c>
      <c r="N141">
        <f>N139+N140</f>
        <v/>
      </c>
      <c r="O141">
        <f>O139+O140</f>
        <v/>
      </c>
      <c r="P141">
        <f>P139+P140</f>
        <v/>
      </c>
      <c r="Q141">
        <f>Q139+Q140</f>
        <v/>
      </c>
    </row>
    <row r="142">
      <c r="A142" t="inlineStr"/>
      <c r="B142" t="inlineStr"/>
      <c r="C142" t="inlineStr">
        <is>
          <t>DC</t>
        </is>
      </c>
      <c r="D142" t="inlineStr">
        <is>
          <t>Dist. Receipt Planned</t>
        </is>
      </c>
      <c r="E142" t="inlineStr">
        <is>
          <t>Supply</t>
        </is>
      </c>
      <c r="F142" t="n">
        <v>0</v>
      </c>
      <c r="G142" t="n">
        <v>0</v>
      </c>
      <c r="H142" t="n">
        <v>0</v>
      </c>
      <c r="I142" t="n">
        <v>0</v>
      </c>
      <c r="J142" t="n">
        <v>0</v>
      </c>
      <c r="K142" t="n">
        <v>116</v>
      </c>
      <c r="L142" t="n">
        <v>0</v>
      </c>
      <c r="M142" t="n">
        <v>0</v>
      </c>
      <c r="N142" t="n">
        <v>160</v>
      </c>
      <c r="O142" t="n">
        <v>0</v>
      </c>
      <c r="P142" t="n">
        <v>0</v>
      </c>
      <c r="Q142" t="n">
        <v>0</v>
      </c>
    </row>
    <row r="143">
      <c r="A143" t="inlineStr"/>
      <c r="B143" t="inlineStr"/>
      <c r="C143" t="inlineStr">
        <is>
          <t>DC</t>
        </is>
      </c>
      <c r="D143" t="inlineStr">
        <is>
          <t>Total Supply</t>
        </is>
      </c>
      <c r="E143" t="inlineStr">
        <is>
          <t>Supply</t>
        </is>
      </c>
      <c r="F143">
        <f>F142</f>
        <v/>
      </c>
      <c r="G143">
        <f>G142</f>
        <v/>
      </c>
      <c r="H143">
        <f>H142</f>
        <v/>
      </c>
      <c r="I143">
        <f>I142</f>
        <v/>
      </c>
      <c r="J143">
        <f>J142</f>
        <v/>
      </c>
      <c r="K143">
        <f>K142</f>
        <v/>
      </c>
      <c r="L143">
        <f>L142</f>
        <v/>
      </c>
      <c r="M143">
        <f>M142</f>
        <v/>
      </c>
      <c r="N143">
        <f>N142</f>
        <v/>
      </c>
      <c r="O143">
        <f>O142</f>
        <v/>
      </c>
      <c r="P143">
        <f>P142</f>
        <v/>
      </c>
      <c r="Q143">
        <f>Q142</f>
        <v/>
      </c>
    </row>
    <row r="144">
      <c r="A144" t="inlineStr"/>
      <c r="B144" t="inlineStr"/>
      <c r="C144" t="inlineStr">
        <is>
          <t>DC</t>
        </is>
      </c>
      <c r="D144" t="inlineStr">
        <is>
          <t>End. Backorder</t>
        </is>
      </c>
      <c r="E144" t="inlineStr">
        <is>
          <t>Demand</t>
        </is>
      </c>
      <c r="F144">
        <f>-MIN(0,F138+F143-F141)</f>
        <v/>
      </c>
      <c r="G144">
        <f>-MIN(0,G138+G143-G141)</f>
        <v/>
      </c>
      <c r="H144">
        <f>-MIN(0,H138+H143-H141)</f>
        <v/>
      </c>
      <c r="I144">
        <f>-MIN(0,I138+I143-I141)</f>
        <v/>
      </c>
      <c r="J144">
        <f>-MIN(0,J138+J143-J141)</f>
        <v/>
      </c>
      <c r="K144">
        <f>-MIN(0,K138+K143-K141)</f>
        <v/>
      </c>
      <c r="L144">
        <f>-MIN(0,L138+L143-L141)</f>
        <v/>
      </c>
      <c r="M144">
        <f>-MIN(0,M138+M143-M141)</f>
        <v/>
      </c>
      <c r="N144">
        <f>-MIN(0,N138+N143-N141)</f>
        <v/>
      </c>
      <c r="O144">
        <f>-MIN(0,O138+O143-O141)</f>
        <v/>
      </c>
      <c r="P144">
        <f>-MIN(0,P138+P143-P141)</f>
        <v/>
      </c>
      <c r="Q144">
        <f>-MIN(0,Q138+Q143-Q141)</f>
        <v/>
      </c>
    </row>
    <row r="145">
      <c r="A145" t="inlineStr"/>
      <c r="B145" t="inlineStr"/>
      <c r="C145" t="inlineStr">
        <is>
          <t>DC</t>
        </is>
      </c>
      <c r="D145" t="inlineStr">
        <is>
          <t>End. Inventory</t>
        </is>
      </c>
      <c r="E145" t="inlineStr">
        <is>
          <t>Inv</t>
        </is>
      </c>
      <c r="F145">
        <f>MAX(F138+F143-F141,0)</f>
        <v/>
      </c>
      <c r="G145">
        <f>MAX(G138+G143-G141,0)</f>
        <v/>
      </c>
      <c r="H145">
        <f>MAX(H138+H143-H141,0)</f>
        <v/>
      </c>
      <c r="I145">
        <f>MAX(I138+I143-I141,0)</f>
        <v/>
      </c>
      <c r="J145">
        <f>MAX(J138+J143-J141,0)</f>
        <v/>
      </c>
      <c r="K145">
        <f>MAX(K138+K143-K141,0)</f>
        <v/>
      </c>
      <c r="L145">
        <f>MAX(L138+L143-L141,0)</f>
        <v/>
      </c>
      <c r="M145">
        <f>MAX(M138+M143-M141,0)</f>
        <v/>
      </c>
      <c r="N145">
        <f>MAX(N138+N143-N141,0)</f>
        <v/>
      </c>
      <c r="O145">
        <f>MAX(O138+O143-O141,0)</f>
        <v/>
      </c>
      <c r="P145">
        <f>MAX(P138+P143-P141,0)</f>
        <v/>
      </c>
      <c r="Q145">
        <f>MAX(Q138+Q143-Q141,0)</f>
        <v/>
      </c>
    </row>
    <row r="146">
      <c r="A146" t="inlineStr"/>
      <c r="B146" t="inlineStr"/>
      <c r="C146" t="inlineStr">
        <is>
          <t>DC</t>
        </is>
      </c>
      <c r="D146" t="inlineStr">
        <is>
          <t>MSTN Thresold</t>
        </is>
      </c>
      <c r="E146" t="inlineStr">
        <is>
          <t>Inv</t>
        </is>
      </c>
      <c r="F146" t="n">
        <v>222</v>
      </c>
      <c r="G146" t="n">
        <v>222</v>
      </c>
      <c r="H146" t="n">
        <v>222</v>
      </c>
      <c r="I146" t="n">
        <v>222</v>
      </c>
      <c r="J146" t="n">
        <v>222</v>
      </c>
      <c r="K146" t="n">
        <v>222</v>
      </c>
      <c r="L146" t="n">
        <v>222</v>
      </c>
      <c r="M146" t="n">
        <v>222</v>
      </c>
      <c r="N146" t="n">
        <v>222</v>
      </c>
      <c r="O146" t="n">
        <v>222</v>
      </c>
      <c r="P146" t="n">
        <v>222</v>
      </c>
      <c r="Q146" t="n">
        <v>222</v>
      </c>
    </row>
    <row r="147">
      <c r="A147" t="inlineStr"/>
      <c r="B147" t="inlineStr"/>
      <c r="C147" t="inlineStr">
        <is>
          <t>DC</t>
        </is>
      </c>
      <c r="D147" t="inlineStr">
        <is>
          <t>ESTN Thresold</t>
        </is>
      </c>
      <c r="E147" t="inlineStr">
        <is>
          <t>Inv</t>
        </is>
      </c>
      <c r="F147" t="n">
        <v>530</v>
      </c>
      <c r="G147" t="n">
        <v>530</v>
      </c>
      <c r="H147" t="n">
        <v>530</v>
      </c>
      <c r="I147" t="n">
        <v>530</v>
      </c>
      <c r="J147" t="n">
        <v>530</v>
      </c>
      <c r="K147" t="n">
        <v>530</v>
      </c>
      <c r="L147" t="n">
        <v>530</v>
      </c>
      <c r="M147" t="n">
        <v>530</v>
      </c>
      <c r="N147" t="n">
        <v>530</v>
      </c>
      <c r="O147" t="n">
        <v>530</v>
      </c>
      <c r="P147" t="n">
        <v>530</v>
      </c>
      <c r="Q147" t="n">
        <v>530</v>
      </c>
    </row>
    <row r="148">
      <c r="A148" t="inlineStr"/>
      <c r="B148" t="inlineStr"/>
      <c r="C148" t="inlineStr">
        <is>
          <t>DC</t>
        </is>
      </c>
      <c r="D148" t="inlineStr">
        <is>
          <t>MSTN%</t>
        </is>
      </c>
      <c r="E148" t="inlineStr"/>
      <c r="F148" s="2">
        <f>IFERROR(MIN(F145,F146)/F146,1)</f>
        <v/>
      </c>
      <c r="G148" s="2">
        <f>IFERROR(MIN(G145,G146)/G146,1)</f>
        <v/>
      </c>
      <c r="H148" s="2">
        <f>IFERROR(MIN(H145,H146)/H146,1)</f>
        <v/>
      </c>
      <c r="I148" s="2">
        <f>IFERROR(MIN(I145,I146)/I146,1)</f>
        <v/>
      </c>
      <c r="J148" s="2">
        <f>IFERROR(MIN(J145,J146)/J146,1)</f>
        <v/>
      </c>
      <c r="K148" s="2">
        <f>IFERROR(MIN(K145,K146)/K146,1)</f>
        <v/>
      </c>
      <c r="L148" s="2">
        <f>IFERROR(MIN(L145,L146)/L146,1)</f>
        <v/>
      </c>
      <c r="M148" s="2">
        <f>IFERROR(MIN(M145,M146)/M146,1)</f>
        <v/>
      </c>
      <c r="N148" s="2">
        <f>IFERROR(MIN(N145,N146)/N146,1)</f>
        <v/>
      </c>
      <c r="O148" s="2">
        <f>IFERROR(MIN(O145,O146)/O146,1)</f>
        <v/>
      </c>
      <c r="P148" s="2">
        <f>IFERROR(MIN(P145,P146)/P146,1)</f>
        <v/>
      </c>
      <c r="Q148" s="2">
        <f>IFERROR(MIN(Q145,Q146)/Q146,1)</f>
        <v/>
      </c>
    </row>
    <row r="149">
      <c r="A149" t="inlineStr"/>
      <c r="B149" t="inlineStr"/>
      <c r="C149" t="inlineStr">
        <is>
          <t>DC</t>
        </is>
      </c>
      <c r="D149" t="inlineStr">
        <is>
          <t>ESTN%</t>
        </is>
      </c>
      <c r="E149" t="inlineStr"/>
      <c r="F149" s="2">
        <f>MAX(F145-F147,0)/F147</f>
        <v/>
      </c>
      <c r="G149" s="2">
        <f>MAX(G145-G147,0)/G147</f>
        <v/>
      </c>
      <c r="H149" s="2">
        <f>MAX(H145-H147,0)/H147</f>
        <v/>
      </c>
      <c r="I149" s="2">
        <f>MAX(I145-I147,0)/I147</f>
        <v/>
      </c>
      <c r="J149" s="2">
        <f>MAX(J145-J147,0)/J147</f>
        <v/>
      </c>
      <c r="K149" s="2">
        <f>MAX(K145-K147,0)/K147</f>
        <v/>
      </c>
      <c r="L149" s="2">
        <f>MAX(L145-L147,0)/L147</f>
        <v/>
      </c>
      <c r="M149" s="2">
        <f>MAX(M145-M147,0)/M147</f>
        <v/>
      </c>
      <c r="N149" s="2">
        <f>MAX(N145-N147,0)/N147</f>
        <v/>
      </c>
      <c r="O149" s="2">
        <f>MAX(O145-O147,0)/O147</f>
        <v/>
      </c>
      <c r="P149" s="2">
        <f>MAX(P145-P147,0)/P147</f>
        <v/>
      </c>
      <c r="Q149" s="2">
        <f>MAX(Q145-Q147,0)/Q147</f>
        <v/>
      </c>
    </row>
    <row r="150">
      <c r="A150" t="inlineStr"/>
      <c r="B150" t="inlineStr"/>
      <c r="C150" t="inlineStr">
        <is>
          <t>DC</t>
        </is>
      </c>
      <c r="D150" t="inlineStr">
        <is>
          <t>Shortage</t>
        </is>
      </c>
      <c r="E150" t="inlineStr">
        <is>
          <t>Inv</t>
        </is>
      </c>
      <c r="F150">
        <f>MAX(0,F146-F145)</f>
        <v/>
      </c>
      <c r="G150">
        <f>MAX(0,G146-G145)</f>
        <v/>
      </c>
      <c r="H150">
        <f>MAX(0,H146-H145)</f>
        <v/>
      </c>
      <c r="I150">
        <f>MAX(0,I146-I145)</f>
        <v/>
      </c>
      <c r="J150">
        <f>MAX(0,J146-J145)</f>
        <v/>
      </c>
      <c r="K150">
        <f>MAX(0,K146-K145)</f>
        <v/>
      </c>
      <c r="L150">
        <f>MAX(0,L146-L145)</f>
        <v/>
      </c>
      <c r="M150">
        <f>MAX(0,M146-M145)</f>
        <v/>
      </c>
      <c r="N150">
        <f>MAX(0,N146-N145)</f>
        <v/>
      </c>
      <c r="O150">
        <f>MAX(0,O146-O145)</f>
        <v/>
      </c>
      <c r="P150">
        <f>MAX(0,P146-P145)</f>
        <v/>
      </c>
      <c r="Q150">
        <f>MAX(0,Q146-Q145)</f>
        <v/>
      </c>
    </row>
    <row r="151">
      <c r="A151" t="inlineStr"/>
      <c r="B151" t="inlineStr"/>
      <c r="C151" t="inlineStr">
        <is>
          <t>DC</t>
        </is>
      </c>
      <c r="D151" t="inlineStr">
        <is>
          <t>Excess</t>
        </is>
      </c>
      <c r="E151" t="inlineStr">
        <is>
          <t>Inv</t>
        </is>
      </c>
      <c r="F151">
        <f>MAX(0,F145-F147)</f>
        <v/>
      </c>
      <c r="G151">
        <f>MAX(0,G145-G147)</f>
        <v/>
      </c>
      <c r="H151">
        <f>MAX(0,H145-H147)</f>
        <v/>
      </c>
      <c r="I151">
        <f>MAX(0,I145-I147)</f>
        <v/>
      </c>
      <c r="J151">
        <f>MAX(0,J145-J147)</f>
        <v/>
      </c>
      <c r="K151">
        <f>MAX(0,K145-K147)</f>
        <v/>
      </c>
      <c r="L151">
        <f>MAX(0,L145-L147)</f>
        <v/>
      </c>
      <c r="M151">
        <f>MAX(0,M145-M147)</f>
        <v/>
      </c>
      <c r="N151">
        <f>MAX(0,N145-N147)</f>
        <v/>
      </c>
      <c r="O151">
        <f>MAX(0,O145-O147)</f>
        <v/>
      </c>
      <c r="P151">
        <f>MAX(0,P145-P147)</f>
        <v/>
      </c>
      <c r="Q151">
        <f>MAX(0,Q145-Q147)</f>
        <v/>
      </c>
    </row>
    <row r="152">
      <c r="A152" t="inlineStr"/>
      <c r="B152" t="inlineStr"/>
      <c r="C152" t="inlineStr">
        <is>
          <t>DC</t>
        </is>
      </c>
      <c r="D152" t="inlineStr">
        <is>
          <t>Out of stock Value($)</t>
        </is>
      </c>
      <c r="E152" t="inlineStr">
        <is>
          <t>Val</t>
        </is>
      </c>
    </row>
    <row r="153">
      <c r="A153" t="inlineStr"/>
      <c r="B153" t="inlineStr"/>
      <c r="C153" t="inlineStr">
        <is>
          <t>DC</t>
        </is>
      </c>
      <c r="D153" t="inlineStr">
        <is>
          <t>Excess and over($)</t>
        </is>
      </c>
      <c r="E153" t="inlineStr">
        <is>
          <t>Val</t>
        </is>
      </c>
    </row>
    <row r="154"/>
    <row r="155">
      <c r="A155" t="inlineStr">
        <is>
          <t>SKU_0002</t>
        </is>
      </c>
      <c r="B155" t="inlineStr">
        <is>
          <t>F1</t>
        </is>
      </c>
      <c r="C155" t="inlineStr">
        <is>
          <t>DC</t>
        </is>
      </c>
      <c r="D155" t="inlineStr">
        <is>
          <t>Start Inventory</t>
        </is>
      </c>
      <c r="E155" t="inlineStr">
        <is>
          <t>Inv</t>
        </is>
      </c>
      <c r="F155" t="n">
        <v>1739</v>
      </c>
      <c r="G155">
        <f>F162</f>
        <v/>
      </c>
      <c r="H155">
        <f>G162</f>
        <v/>
      </c>
      <c r="I155">
        <f>H162</f>
        <v/>
      </c>
      <c r="J155">
        <f>I162</f>
        <v/>
      </c>
      <c r="K155">
        <f>J162</f>
        <v/>
      </c>
      <c r="L155">
        <f>K162</f>
        <v/>
      </c>
      <c r="M155">
        <f>L162</f>
        <v/>
      </c>
      <c r="N155">
        <f>M162</f>
        <v/>
      </c>
      <c r="O155">
        <f>N162</f>
        <v/>
      </c>
      <c r="P155">
        <f>O162</f>
        <v/>
      </c>
      <c r="Q155">
        <f>P162</f>
        <v/>
      </c>
    </row>
    <row r="156">
      <c r="A156" t="inlineStr"/>
      <c r="B156" t="inlineStr"/>
      <c r="C156" t="inlineStr">
        <is>
          <t>DC</t>
        </is>
      </c>
      <c r="D156" t="inlineStr">
        <is>
          <t>Total Forecast/Order</t>
        </is>
      </c>
      <c r="E156" t="inlineStr">
        <is>
          <t>Demand</t>
        </is>
      </c>
      <c r="F156" t="n">
        <v>737</v>
      </c>
      <c r="G156" t="n">
        <v>801</v>
      </c>
      <c r="H156" t="n">
        <v>737</v>
      </c>
      <c r="I156" t="n">
        <v>1748</v>
      </c>
      <c r="J156" t="n">
        <v>286</v>
      </c>
      <c r="K156" t="n">
        <v>233</v>
      </c>
      <c r="L156" t="n">
        <v>0</v>
      </c>
      <c r="M156" t="n">
        <v>440</v>
      </c>
      <c r="N156" t="n">
        <v>568</v>
      </c>
      <c r="O156" t="n">
        <v>0</v>
      </c>
      <c r="P156" t="n">
        <v>372</v>
      </c>
      <c r="Q156" t="n">
        <v>0</v>
      </c>
    </row>
    <row r="157">
      <c r="A157" t="inlineStr"/>
      <c r="B157" t="inlineStr"/>
      <c r="C157" t="inlineStr">
        <is>
          <t>DC</t>
        </is>
      </c>
      <c r="D157" t="inlineStr">
        <is>
          <t>Start Backorder</t>
        </is>
      </c>
      <c r="E157" t="inlineStr">
        <is>
          <t>Demand</t>
        </is>
      </c>
      <c r="F157" t="n">
        <v>0</v>
      </c>
      <c r="G157">
        <f>F161</f>
        <v/>
      </c>
      <c r="H157">
        <f>G161</f>
        <v/>
      </c>
      <c r="I157">
        <f>H161</f>
        <v/>
      </c>
      <c r="J157">
        <f>I161</f>
        <v/>
      </c>
      <c r="K157">
        <f>J161</f>
        <v/>
      </c>
      <c r="L157">
        <f>K161</f>
        <v/>
      </c>
      <c r="M157">
        <f>L161</f>
        <v/>
      </c>
      <c r="N157">
        <f>M161</f>
        <v/>
      </c>
      <c r="O157">
        <f>N161</f>
        <v/>
      </c>
      <c r="P157">
        <f>O161</f>
        <v/>
      </c>
      <c r="Q157">
        <f>P161</f>
        <v/>
      </c>
    </row>
    <row r="158">
      <c r="A158" t="inlineStr"/>
      <c r="B158" t="inlineStr"/>
      <c r="C158" t="inlineStr">
        <is>
          <t>DC</t>
        </is>
      </c>
      <c r="D158" t="inlineStr">
        <is>
          <t>Total Demand</t>
        </is>
      </c>
      <c r="E158" t="inlineStr">
        <is>
          <t>Demand</t>
        </is>
      </c>
      <c r="F158">
        <f>F156+F157</f>
        <v/>
      </c>
      <c r="G158">
        <f>G156+G157</f>
        <v/>
      </c>
      <c r="H158">
        <f>H156+H157</f>
        <v/>
      </c>
      <c r="I158">
        <f>I156+I157</f>
        <v/>
      </c>
      <c r="J158">
        <f>J156+J157</f>
        <v/>
      </c>
      <c r="K158">
        <f>K156+K157</f>
        <v/>
      </c>
      <c r="L158">
        <f>L156+L157</f>
        <v/>
      </c>
      <c r="M158">
        <f>M156+M157</f>
        <v/>
      </c>
      <c r="N158">
        <f>N156+N157</f>
        <v/>
      </c>
      <c r="O158">
        <f>O156+O157</f>
        <v/>
      </c>
      <c r="P158">
        <f>P156+P157</f>
        <v/>
      </c>
      <c r="Q158">
        <f>Q156+Q157</f>
        <v/>
      </c>
    </row>
    <row r="159">
      <c r="A159" t="inlineStr"/>
      <c r="B159" t="inlineStr"/>
      <c r="C159" t="inlineStr">
        <is>
          <t>DC</t>
        </is>
      </c>
      <c r="D159" t="inlineStr">
        <is>
          <t>Dist. Receipt Planned</t>
        </is>
      </c>
      <c r="E159" t="inlineStr">
        <is>
          <t>Supply</t>
        </is>
      </c>
      <c r="F159" t="n">
        <v>1531</v>
      </c>
      <c r="G159" t="n">
        <v>0</v>
      </c>
      <c r="H159" t="n">
        <v>0</v>
      </c>
      <c r="I159" t="n">
        <v>2909</v>
      </c>
      <c r="J159" t="n">
        <v>0</v>
      </c>
      <c r="K159" t="n">
        <v>0</v>
      </c>
      <c r="L159" t="n">
        <v>2840</v>
      </c>
      <c r="M159" t="n">
        <v>0</v>
      </c>
      <c r="N159" t="n">
        <v>1500</v>
      </c>
      <c r="O159" t="n">
        <v>0</v>
      </c>
      <c r="P159" t="n">
        <v>0</v>
      </c>
      <c r="Q159" t="n">
        <v>3819</v>
      </c>
    </row>
    <row r="160">
      <c r="A160" t="inlineStr"/>
      <c r="B160" t="inlineStr"/>
      <c r="C160" t="inlineStr">
        <is>
          <t>DC</t>
        </is>
      </c>
      <c r="D160" t="inlineStr">
        <is>
          <t>Total Supply</t>
        </is>
      </c>
      <c r="E160" t="inlineStr">
        <is>
          <t>Supply</t>
        </is>
      </c>
      <c r="F160">
        <f>F159</f>
        <v/>
      </c>
      <c r="G160">
        <f>G159</f>
        <v/>
      </c>
      <c r="H160">
        <f>H159</f>
        <v/>
      </c>
      <c r="I160">
        <f>I159</f>
        <v/>
      </c>
      <c r="J160">
        <f>J159</f>
        <v/>
      </c>
      <c r="K160">
        <f>K159</f>
        <v/>
      </c>
      <c r="L160">
        <f>L159</f>
        <v/>
      </c>
      <c r="M160">
        <f>M159</f>
        <v/>
      </c>
      <c r="N160">
        <f>N159</f>
        <v/>
      </c>
      <c r="O160">
        <f>O159</f>
        <v/>
      </c>
      <c r="P160">
        <f>P159</f>
        <v/>
      </c>
      <c r="Q160">
        <f>Q159</f>
        <v/>
      </c>
    </row>
    <row r="161">
      <c r="A161" t="inlineStr"/>
      <c r="B161" t="inlineStr"/>
      <c r="C161" t="inlineStr">
        <is>
          <t>DC</t>
        </is>
      </c>
      <c r="D161" t="inlineStr">
        <is>
          <t>End. Backorder</t>
        </is>
      </c>
      <c r="E161" t="inlineStr">
        <is>
          <t>Demand</t>
        </is>
      </c>
      <c r="F161">
        <f>-MIN(0,F155+F160-F158)</f>
        <v/>
      </c>
      <c r="G161">
        <f>-MIN(0,G155+G160-G158)</f>
        <v/>
      </c>
      <c r="H161">
        <f>-MIN(0,H155+H160-H158)</f>
        <v/>
      </c>
      <c r="I161">
        <f>-MIN(0,I155+I160-I158)</f>
        <v/>
      </c>
      <c r="J161">
        <f>-MIN(0,J155+J160-J158)</f>
        <v/>
      </c>
      <c r="K161">
        <f>-MIN(0,K155+K160-K158)</f>
        <v/>
      </c>
      <c r="L161">
        <f>-MIN(0,L155+L160-L158)</f>
        <v/>
      </c>
      <c r="M161">
        <f>-MIN(0,M155+M160-M158)</f>
        <v/>
      </c>
      <c r="N161">
        <f>-MIN(0,N155+N160-N158)</f>
        <v/>
      </c>
      <c r="O161">
        <f>-MIN(0,O155+O160-O158)</f>
        <v/>
      </c>
      <c r="P161">
        <f>-MIN(0,P155+P160-P158)</f>
        <v/>
      </c>
      <c r="Q161">
        <f>-MIN(0,Q155+Q160-Q158)</f>
        <v/>
      </c>
    </row>
    <row r="162">
      <c r="A162" t="inlineStr"/>
      <c r="B162" t="inlineStr"/>
      <c r="C162" t="inlineStr">
        <is>
          <t>DC</t>
        </is>
      </c>
      <c r="D162" t="inlineStr">
        <is>
          <t>End. Inventory</t>
        </is>
      </c>
      <c r="E162" t="inlineStr">
        <is>
          <t>Inv</t>
        </is>
      </c>
      <c r="F162">
        <f>MAX(F155+F160-F158,0)</f>
        <v/>
      </c>
      <c r="G162">
        <f>MAX(G155+G160-G158,0)</f>
        <v/>
      </c>
      <c r="H162">
        <f>MAX(H155+H160-H158,0)</f>
        <v/>
      </c>
      <c r="I162">
        <f>MAX(I155+I160-I158,0)</f>
        <v/>
      </c>
      <c r="J162">
        <f>MAX(J155+J160-J158,0)</f>
        <v/>
      </c>
      <c r="K162">
        <f>MAX(K155+K160-K158,0)</f>
        <v/>
      </c>
      <c r="L162">
        <f>MAX(L155+L160-L158,0)</f>
        <v/>
      </c>
      <c r="M162">
        <f>MAX(M155+M160-M158,0)</f>
        <v/>
      </c>
      <c r="N162">
        <f>MAX(N155+N160-N158,0)</f>
        <v/>
      </c>
      <c r="O162">
        <f>MAX(O155+O160-O158,0)</f>
        <v/>
      </c>
      <c r="P162">
        <f>MAX(P155+P160-P158,0)</f>
        <v/>
      </c>
      <c r="Q162">
        <f>MAX(Q155+Q160-Q158,0)</f>
        <v/>
      </c>
    </row>
    <row r="163">
      <c r="A163" t="inlineStr"/>
      <c r="B163" t="inlineStr"/>
      <c r="C163" t="inlineStr">
        <is>
          <t>DC</t>
        </is>
      </c>
      <c r="D163" t="inlineStr">
        <is>
          <t>MSTN Thresold</t>
        </is>
      </c>
      <c r="E163" t="inlineStr">
        <is>
          <t>Inv</t>
        </is>
      </c>
      <c r="F163" t="n">
        <v>1570</v>
      </c>
      <c r="G163" t="n">
        <v>1570</v>
      </c>
      <c r="H163" t="n">
        <v>1570</v>
      </c>
      <c r="I163" t="n">
        <v>1570</v>
      </c>
      <c r="J163" t="n">
        <v>1570</v>
      </c>
      <c r="K163" t="n">
        <v>1570</v>
      </c>
      <c r="L163" t="n">
        <v>1570</v>
      </c>
      <c r="M163" t="n">
        <v>1570</v>
      </c>
      <c r="N163" t="n">
        <v>1570</v>
      </c>
      <c r="O163" t="n">
        <v>1570</v>
      </c>
      <c r="P163" t="n">
        <v>1570</v>
      </c>
      <c r="Q163" t="n">
        <v>1570</v>
      </c>
    </row>
    <row r="164">
      <c r="A164" t="inlineStr"/>
      <c r="B164" t="inlineStr"/>
      <c r="C164" t="inlineStr">
        <is>
          <t>DC</t>
        </is>
      </c>
      <c r="D164" t="inlineStr">
        <is>
          <t>ESTN Thresold</t>
        </is>
      </c>
      <c r="E164" t="inlineStr">
        <is>
          <t>Inv</t>
        </is>
      </c>
      <c r="F164" t="n">
        <v>5333</v>
      </c>
      <c r="G164" t="n">
        <v>5333</v>
      </c>
      <c r="H164" t="n">
        <v>5333</v>
      </c>
      <c r="I164" t="n">
        <v>5333</v>
      </c>
      <c r="J164" t="n">
        <v>5333</v>
      </c>
      <c r="K164" t="n">
        <v>5333</v>
      </c>
      <c r="L164" t="n">
        <v>5333</v>
      </c>
      <c r="M164" t="n">
        <v>5333</v>
      </c>
      <c r="N164" t="n">
        <v>5333</v>
      </c>
      <c r="O164" t="n">
        <v>5333</v>
      </c>
      <c r="P164" t="n">
        <v>5333</v>
      </c>
      <c r="Q164" t="n">
        <v>5333</v>
      </c>
    </row>
    <row r="165">
      <c r="A165" t="inlineStr"/>
      <c r="B165" t="inlineStr"/>
      <c r="C165" t="inlineStr">
        <is>
          <t>DC</t>
        </is>
      </c>
      <c r="D165" t="inlineStr">
        <is>
          <t>MSTN%</t>
        </is>
      </c>
      <c r="E165" t="inlineStr"/>
      <c r="F165" s="2">
        <f>IFERROR(MIN(F162,F163)/F163,1)</f>
        <v/>
      </c>
      <c r="G165" s="2">
        <f>IFERROR(MIN(G162,G163)/G163,1)</f>
        <v/>
      </c>
      <c r="H165" s="2">
        <f>IFERROR(MIN(H162,H163)/H163,1)</f>
        <v/>
      </c>
      <c r="I165" s="2">
        <f>IFERROR(MIN(I162,I163)/I163,1)</f>
        <v/>
      </c>
      <c r="J165" s="2">
        <f>IFERROR(MIN(J162,J163)/J163,1)</f>
        <v/>
      </c>
      <c r="K165" s="2">
        <f>IFERROR(MIN(K162,K163)/K163,1)</f>
        <v/>
      </c>
      <c r="L165" s="2">
        <f>IFERROR(MIN(L162,L163)/L163,1)</f>
        <v/>
      </c>
      <c r="M165" s="2">
        <f>IFERROR(MIN(M162,M163)/M163,1)</f>
        <v/>
      </c>
      <c r="N165" s="2">
        <f>IFERROR(MIN(N162,N163)/N163,1)</f>
        <v/>
      </c>
      <c r="O165" s="2">
        <f>IFERROR(MIN(O162,O163)/O163,1)</f>
        <v/>
      </c>
      <c r="P165" s="2">
        <f>IFERROR(MIN(P162,P163)/P163,1)</f>
        <v/>
      </c>
      <c r="Q165" s="2">
        <f>IFERROR(MIN(Q162,Q163)/Q163,1)</f>
        <v/>
      </c>
    </row>
    <row r="166">
      <c r="A166" t="inlineStr"/>
      <c r="B166" t="inlineStr"/>
      <c r="C166" t="inlineStr">
        <is>
          <t>DC</t>
        </is>
      </c>
      <c r="D166" t="inlineStr">
        <is>
          <t>ESTN%</t>
        </is>
      </c>
      <c r="E166" t="inlineStr"/>
      <c r="F166" s="2">
        <f>MAX(F162-F164,0)/F164</f>
        <v/>
      </c>
      <c r="G166" s="2">
        <f>MAX(G162-G164,0)/G164</f>
        <v/>
      </c>
      <c r="H166" s="2">
        <f>MAX(H162-H164,0)/H164</f>
        <v/>
      </c>
      <c r="I166" s="2">
        <f>MAX(I162-I164,0)/I164</f>
        <v/>
      </c>
      <c r="J166" s="2">
        <f>MAX(J162-J164,0)/J164</f>
        <v/>
      </c>
      <c r="K166" s="2">
        <f>MAX(K162-K164,0)/K164</f>
        <v/>
      </c>
      <c r="L166" s="2">
        <f>MAX(L162-L164,0)/L164</f>
        <v/>
      </c>
      <c r="M166" s="2">
        <f>MAX(M162-M164,0)/M164</f>
        <v/>
      </c>
      <c r="N166" s="2">
        <f>MAX(N162-N164,0)/N164</f>
        <v/>
      </c>
      <c r="O166" s="2">
        <f>MAX(O162-O164,0)/O164</f>
        <v/>
      </c>
      <c r="P166" s="2">
        <f>MAX(P162-P164,0)/P164</f>
        <v/>
      </c>
      <c r="Q166" s="2">
        <f>MAX(Q162-Q164,0)/Q164</f>
        <v/>
      </c>
    </row>
    <row r="167">
      <c r="A167" t="inlineStr"/>
      <c r="B167" t="inlineStr"/>
      <c r="C167" t="inlineStr">
        <is>
          <t>DC</t>
        </is>
      </c>
      <c r="D167" t="inlineStr">
        <is>
          <t>Shortage</t>
        </is>
      </c>
      <c r="E167" t="inlineStr">
        <is>
          <t>Inv</t>
        </is>
      </c>
      <c r="F167">
        <f>MAX(0,F163-F162)</f>
        <v/>
      </c>
      <c r="G167">
        <f>MAX(0,G163-G162)</f>
        <v/>
      </c>
      <c r="H167">
        <f>MAX(0,H163-H162)</f>
        <v/>
      </c>
      <c r="I167">
        <f>MAX(0,I163-I162)</f>
        <v/>
      </c>
      <c r="J167">
        <f>MAX(0,J163-J162)</f>
        <v/>
      </c>
      <c r="K167">
        <f>MAX(0,K163-K162)</f>
        <v/>
      </c>
      <c r="L167">
        <f>MAX(0,L163-L162)</f>
        <v/>
      </c>
      <c r="M167">
        <f>MAX(0,M163-M162)</f>
        <v/>
      </c>
      <c r="N167">
        <f>MAX(0,N163-N162)</f>
        <v/>
      </c>
      <c r="O167">
        <f>MAX(0,O163-O162)</f>
        <v/>
      </c>
      <c r="P167">
        <f>MAX(0,P163-P162)</f>
        <v/>
      </c>
      <c r="Q167">
        <f>MAX(0,Q163-Q162)</f>
        <v/>
      </c>
    </row>
    <row r="168">
      <c r="A168" t="inlineStr"/>
      <c r="B168" t="inlineStr"/>
      <c r="C168" t="inlineStr">
        <is>
          <t>DC</t>
        </is>
      </c>
      <c r="D168" t="inlineStr">
        <is>
          <t>Excess</t>
        </is>
      </c>
      <c r="E168" t="inlineStr">
        <is>
          <t>Inv</t>
        </is>
      </c>
      <c r="F168">
        <f>MAX(0,F162-F164)</f>
        <v/>
      </c>
      <c r="G168">
        <f>MAX(0,G162-G164)</f>
        <v/>
      </c>
      <c r="H168">
        <f>MAX(0,H162-H164)</f>
        <v/>
      </c>
      <c r="I168">
        <f>MAX(0,I162-I164)</f>
        <v/>
      </c>
      <c r="J168">
        <f>MAX(0,J162-J164)</f>
        <v/>
      </c>
      <c r="K168">
        <f>MAX(0,K162-K164)</f>
        <v/>
      </c>
      <c r="L168">
        <f>MAX(0,L162-L164)</f>
        <v/>
      </c>
      <c r="M168">
        <f>MAX(0,M162-M164)</f>
        <v/>
      </c>
      <c r="N168">
        <f>MAX(0,N162-N164)</f>
        <v/>
      </c>
      <c r="O168">
        <f>MAX(0,O162-O164)</f>
        <v/>
      </c>
      <c r="P168">
        <f>MAX(0,P162-P164)</f>
        <v/>
      </c>
      <c r="Q168">
        <f>MAX(0,Q162-Q164)</f>
        <v/>
      </c>
    </row>
    <row r="169">
      <c r="A169" t="inlineStr"/>
      <c r="B169" t="inlineStr"/>
      <c r="C169" t="inlineStr">
        <is>
          <t>DC</t>
        </is>
      </c>
      <c r="D169" t="inlineStr">
        <is>
          <t>Out of stock Value($)</t>
        </is>
      </c>
      <c r="E169" t="inlineStr">
        <is>
          <t>Val</t>
        </is>
      </c>
    </row>
    <row r="170">
      <c r="A170" t="inlineStr"/>
      <c r="B170" t="inlineStr"/>
      <c r="C170" t="inlineStr">
        <is>
          <t>DC</t>
        </is>
      </c>
      <c r="D170" t="inlineStr">
        <is>
          <t>Excess and over($)</t>
        </is>
      </c>
      <c r="E170" t="inlineStr">
        <is>
          <t>Val</t>
        </is>
      </c>
    </row>
    <row r="171"/>
    <row r="172">
      <c r="A172" t="inlineStr">
        <is>
          <t>SKU_0003</t>
        </is>
      </c>
      <c r="B172" t="inlineStr">
        <is>
          <t>DC1</t>
        </is>
      </c>
      <c r="C172" t="inlineStr">
        <is>
          <t>DC</t>
        </is>
      </c>
      <c r="D172" t="inlineStr">
        <is>
          <t>Start Inventory</t>
        </is>
      </c>
      <c r="E172" t="inlineStr">
        <is>
          <t>Inv</t>
        </is>
      </c>
      <c r="F172" t="n">
        <v>64</v>
      </c>
      <c r="G172">
        <f>F179</f>
        <v/>
      </c>
      <c r="H172">
        <f>G179</f>
        <v/>
      </c>
      <c r="I172">
        <f>H179</f>
        <v/>
      </c>
      <c r="J172">
        <f>I179</f>
        <v/>
      </c>
      <c r="K172">
        <f>J179</f>
        <v/>
      </c>
      <c r="L172">
        <f>K179</f>
        <v/>
      </c>
      <c r="M172">
        <f>L179</f>
        <v/>
      </c>
      <c r="N172">
        <f>M179</f>
        <v/>
      </c>
      <c r="O172">
        <f>N179</f>
        <v/>
      </c>
      <c r="P172">
        <f>O179</f>
        <v/>
      </c>
      <c r="Q172">
        <f>P179</f>
        <v/>
      </c>
    </row>
    <row r="173">
      <c r="A173" t="inlineStr"/>
      <c r="B173" t="inlineStr"/>
      <c r="C173" t="inlineStr">
        <is>
          <t>DC</t>
        </is>
      </c>
      <c r="D173" t="inlineStr">
        <is>
          <t>Total Forecast/Order</t>
        </is>
      </c>
      <c r="E173" t="inlineStr">
        <is>
          <t>Demand</t>
        </is>
      </c>
      <c r="F173" t="n">
        <v>72</v>
      </c>
      <c r="G173" t="n">
        <v>73</v>
      </c>
      <c r="H173" t="n">
        <v>52</v>
      </c>
      <c r="I173" t="n">
        <v>80</v>
      </c>
      <c r="J173" t="n">
        <v>95</v>
      </c>
      <c r="K173" t="n">
        <v>74</v>
      </c>
      <c r="L173" t="n">
        <v>69</v>
      </c>
      <c r="M173" t="n">
        <v>86</v>
      </c>
      <c r="N173" t="n">
        <v>58</v>
      </c>
      <c r="O173" t="n">
        <v>82</v>
      </c>
      <c r="P173" t="n">
        <v>55</v>
      </c>
      <c r="Q173" t="n">
        <v>43</v>
      </c>
    </row>
    <row r="174">
      <c r="A174" t="inlineStr"/>
      <c r="B174" t="inlineStr"/>
      <c r="C174" t="inlineStr">
        <is>
          <t>DC</t>
        </is>
      </c>
      <c r="D174" t="inlineStr">
        <is>
          <t>Start Backorder</t>
        </is>
      </c>
      <c r="E174" t="inlineStr">
        <is>
          <t>Demand</t>
        </is>
      </c>
      <c r="F174" t="n">
        <v>0</v>
      </c>
      <c r="G174">
        <f>F178</f>
        <v/>
      </c>
      <c r="H174">
        <f>G178</f>
        <v/>
      </c>
      <c r="I174">
        <f>H178</f>
        <v/>
      </c>
      <c r="J174">
        <f>I178</f>
        <v/>
      </c>
      <c r="K174">
        <f>J178</f>
        <v/>
      </c>
      <c r="L174">
        <f>K178</f>
        <v/>
      </c>
      <c r="M174">
        <f>L178</f>
        <v/>
      </c>
      <c r="N174">
        <f>M178</f>
        <v/>
      </c>
      <c r="O174">
        <f>N178</f>
        <v/>
      </c>
      <c r="P174">
        <f>O178</f>
        <v/>
      </c>
      <c r="Q174">
        <f>P178</f>
        <v/>
      </c>
    </row>
    <row r="175">
      <c r="A175" t="inlineStr"/>
      <c r="B175" t="inlineStr"/>
      <c r="C175" t="inlineStr">
        <is>
          <t>DC</t>
        </is>
      </c>
      <c r="D175" t="inlineStr">
        <is>
          <t>Total Demand</t>
        </is>
      </c>
      <c r="E175" t="inlineStr">
        <is>
          <t>Demand</t>
        </is>
      </c>
      <c r="F175">
        <f>F173+F174</f>
        <v/>
      </c>
      <c r="G175">
        <f>G173+G174</f>
        <v/>
      </c>
      <c r="H175">
        <f>H173+H174</f>
        <v/>
      </c>
      <c r="I175">
        <f>I173+I174</f>
        <v/>
      </c>
      <c r="J175">
        <f>J173+J174</f>
        <v/>
      </c>
      <c r="K175">
        <f>K173+K174</f>
        <v/>
      </c>
      <c r="L175">
        <f>L173+L174</f>
        <v/>
      </c>
      <c r="M175">
        <f>M173+M174</f>
        <v/>
      </c>
      <c r="N175">
        <f>N173+N174</f>
        <v/>
      </c>
      <c r="O175">
        <f>O173+O174</f>
        <v/>
      </c>
      <c r="P175">
        <f>P173+P174</f>
        <v/>
      </c>
      <c r="Q175">
        <f>Q173+Q174</f>
        <v/>
      </c>
    </row>
    <row r="176">
      <c r="A176" t="inlineStr"/>
      <c r="B176" t="inlineStr"/>
      <c r="C176" t="inlineStr">
        <is>
          <t>DC</t>
        </is>
      </c>
      <c r="D176" t="inlineStr">
        <is>
          <t>Dist. Receipt Planned</t>
        </is>
      </c>
      <c r="E176" t="inlineStr">
        <is>
          <t>Supply</t>
        </is>
      </c>
      <c r="F176" t="n">
        <v>0</v>
      </c>
      <c r="G176" t="n">
        <v>0</v>
      </c>
      <c r="H176" t="n">
        <v>0</v>
      </c>
      <c r="I176" t="n">
        <v>0</v>
      </c>
      <c r="J176" t="n">
        <v>0</v>
      </c>
      <c r="K176" t="n">
        <v>0</v>
      </c>
      <c r="L176" t="n">
        <v>112</v>
      </c>
      <c r="M176" t="n">
        <v>0</v>
      </c>
      <c r="N176" t="n">
        <v>110</v>
      </c>
      <c r="O176" t="n">
        <v>0</v>
      </c>
      <c r="P176" t="n">
        <v>0</v>
      </c>
      <c r="Q176" t="n">
        <v>0</v>
      </c>
    </row>
    <row r="177">
      <c r="A177" t="inlineStr"/>
      <c r="B177" t="inlineStr"/>
      <c r="C177" t="inlineStr">
        <is>
          <t>DC</t>
        </is>
      </c>
      <c r="D177" t="inlineStr">
        <is>
          <t>Total Supply</t>
        </is>
      </c>
      <c r="E177" t="inlineStr">
        <is>
          <t>Supply</t>
        </is>
      </c>
      <c r="F177">
        <f>F176</f>
        <v/>
      </c>
      <c r="G177">
        <f>G176</f>
        <v/>
      </c>
      <c r="H177">
        <f>H176</f>
        <v/>
      </c>
      <c r="I177">
        <f>I176</f>
        <v/>
      </c>
      <c r="J177">
        <f>J176</f>
        <v/>
      </c>
      <c r="K177">
        <f>K176</f>
        <v/>
      </c>
      <c r="L177">
        <f>L176</f>
        <v/>
      </c>
      <c r="M177">
        <f>M176</f>
        <v/>
      </c>
      <c r="N177">
        <f>N176</f>
        <v/>
      </c>
      <c r="O177">
        <f>O176</f>
        <v/>
      </c>
      <c r="P177">
        <f>P176</f>
        <v/>
      </c>
      <c r="Q177">
        <f>Q176</f>
        <v/>
      </c>
    </row>
    <row r="178">
      <c r="A178" t="inlineStr"/>
      <c r="B178" t="inlineStr"/>
      <c r="C178" t="inlineStr">
        <is>
          <t>DC</t>
        </is>
      </c>
      <c r="D178" t="inlineStr">
        <is>
          <t>End. Backorder</t>
        </is>
      </c>
      <c r="E178" t="inlineStr">
        <is>
          <t>Demand</t>
        </is>
      </c>
      <c r="F178">
        <f>-MIN(0,F172+F177-F175)</f>
        <v/>
      </c>
      <c r="G178">
        <f>-MIN(0,G172+G177-G175)</f>
        <v/>
      </c>
      <c r="H178">
        <f>-MIN(0,H172+H177-H175)</f>
        <v/>
      </c>
      <c r="I178">
        <f>-MIN(0,I172+I177-I175)</f>
        <v/>
      </c>
      <c r="J178">
        <f>-MIN(0,J172+J177-J175)</f>
        <v/>
      </c>
      <c r="K178">
        <f>-MIN(0,K172+K177-K175)</f>
        <v/>
      </c>
      <c r="L178">
        <f>-MIN(0,L172+L177-L175)</f>
        <v/>
      </c>
      <c r="M178">
        <f>-MIN(0,M172+M177-M175)</f>
        <v/>
      </c>
      <c r="N178">
        <f>-MIN(0,N172+N177-N175)</f>
        <v/>
      </c>
      <c r="O178">
        <f>-MIN(0,O172+O177-O175)</f>
        <v/>
      </c>
      <c r="P178">
        <f>-MIN(0,P172+P177-P175)</f>
        <v/>
      </c>
      <c r="Q178">
        <f>-MIN(0,Q172+Q177-Q175)</f>
        <v/>
      </c>
    </row>
    <row r="179">
      <c r="A179" t="inlineStr"/>
      <c r="B179" t="inlineStr"/>
      <c r="C179" t="inlineStr">
        <is>
          <t>DC</t>
        </is>
      </c>
      <c r="D179" t="inlineStr">
        <is>
          <t>End. Inventory</t>
        </is>
      </c>
      <c r="E179" t="inlineStr">
        <is>
          <t>Inv</t>
        </is>
      </c>
      <c r="F179">
        <f>MAX(F172+F177-F175,0)</f>
        <v/>
      </c>
      <c r="G179">
        <f>MAX(G172+G177-G175,0)</f>
        <v/>
      </c>
      <c r="H179">
        <f>MAX(H172+H177-H175,0)</f>
        <v/>
      </c>
      <c r="I179">
        <f>MAX(I172+I177-I175,0)</f>
        <v/>
      </c>
      <c r="J179">
        <f>MAX(J172+J177-J175,0)</f>
        <v/>
      </c>
      <c r="K179">
        <f>MAX(K172+K177-K175,0)</f>
        <v/>
      </c>
      <c r="L179">
        <f>MAX(L172+L177-L175,0)</f>
        <v/>
      </c>
      <c r="M179">
        <f>MAX(M172+M177-M175,0)</f>
        <v/>
      </c>
      <c r="N179">
        <f>MAX(N172+N177-N175,0)</f>
        <v/>
      </c>
      <c r="O179">
        <f>MAX(O172+O177-O175,0)</f>
        <v/>
      </c>
      <c r="P179">
        <f>MAX(P172+P177-P175,0)</f>
        <v/>
      </c>
      <c r="Q179">
        <f>MAX(Q172+Q177-Q175,0)</f>
        <v/>
      </c>
    </row>
    <row r="180">
      <c r="A180" t="inlineStr"/>
      <c r="B180" t="inlineStr"/>
      <c r="C180" t="inlineStr">
        <is>
          <t>DC</t>
        </is>
      </c>
      <c r="D180" t="inlineStr">
        <is>
          <t>MSTN Thresold</t>
        </is>
      </c>
      <c r="E180" t="inlineStr">
        <is>
          <t>Inv</t>
        </is>
      </c>
      <c r="F180" t="n">
        <v>291</v>
      </c>
      <c r="G180" t="n">
        <v>291</v>
      </c>
      <c r="H180" t="n">
        <v>291</v>
      </c>
      <c r="I180" t="n">
        <v>291</v>
      </c>
      <c r="J180" t="n">
        <v>291</v>
      </c>
      <c r="K180" t="n">
        <v>291</v>
      </c>
      <c r="L180" t="n">
        <v>291</v>
      </c>
      <c r="M180" t="n">
        <v>291</v>
      </c>
      <c r="N180" t="n">
        <v>291</v>
      </c>
      <c r="O180" t="n">
        <v>291</v>
      </c>
      <c r="P180" t="n">
        <v>291</v>
      </c>
      <c r="Q180" t="n">
        <v>291</v>
      </c>
    </row>
    <row r="181">
      <c r="A181" t="inlineStr"/>
      <c r="B181" t="inlineStr"/>
      <c r="C181" t="inlineStr">
        <is>
          <t>DC</t>
        </is>
      </c>
      <c r="D181" t="inlineStr">
        <is>
          <t>ESTN Thresold</t>
        </is>
      </c>
      <c r="E181" t="inlineStr">
        <is>
          <t>Inv</t>
        </is>
      </c>
      <c r="F181" t="n">
        <v>903</v>
      </c>
      <c r="G181" t="n">
        <v>903</v>
      </c>
      <c r="H181" t="n">
        <v>903</v>
      </c>
      <c r="I181" t="n">
        <v>903</v>
      </c>
      <c r="J181" t="n">
        <v>903</v>
      </c>
      <c r="K181" t="n">
        <v>903</v>
      </c>
      <c r="L181" t="n">
        <v>903</v>
      </c>
      <c r="M181" t="n">
        <v>903</v>
      </c>
      <c r="N181" t="n">
        <v>903</v>
      </c>
      <c r="O181" t="n">
        <v>903</v>
      </c>
      <c r="P181" t="n">
        <v>903</v>
      </c>
      <c r="Q181" t="n">
        <v>903</v>
      </c>
    </row>
    <row r="182">
      <c r="A182" t="inlineStr"/>
      <c r="B182" t="inlineStr"/>
      <c r="C182" t="inlineStr">
        <is>
          <t>DC</t>
        </is>
      </c>
      <c r="D182" t="inlineStr">
        <is>
          <t>MSTN%</t>
        </is>
      </c>
      <c r="E182" t="inlineStr"/>
      <c r="F182" s="2">
        <f>IFERROR(MIN(F179,F180)/F180,1)</f>
        <v/>
      </c>
      <c r="G182" s="2">
        <f>IFERROR(MIN(G179,G180)/G180,1)</f>
        <v/>
      </c>
      <c r="H182" s="2">
        <f>IFERROR(MIN(H179,H180)/H180,1)</f>
        <v/>
      </c>
      <c r="I182" s="2">
        <f>IFERROR(MIN(I179,I180)/I180,1)</f>
        <v/>
      </c>
      <c r="J182" s="2">
        <f>IFERROR(MIN(J179,J180)/J180,1)</f>
        <v/>
      </c>
      <c r="K182" s="2">
        <f>IFERROR(MIN(K179,K180)/K180,1)</f>
        <v/>
      </c>
      <c r="L182" s="2">
        <f>IFERROR(MIN(L179,L180)/L180,1)</f>
        <v/>
      </c>
      <c r="M182" s="2">
        <f>IFERROR(MIN(M179,M180)/M180,1)</f>
        <v/>
      </c>
      <c r="N182" s="2">
        <f>IFERROR(MIN(N179,N180)/N180,1)</f>
        <v/>
      </c>
      <c r="O182" s="2">
        <f>IFERROR(MIN(O179,O180)/O180,1)</f>
        <v/>
      </c>
      <c r="P182" s="2">
        <f>IFERROR(MIN(P179,P180)/P180,1)</f>
        <v/>
      </c>
      <c r="Q182" s="2">
        <f>IFERROR(MIN(Q179,Q180)/Q180,1)</f>
        <v/>
      </c>
    </row>
    <row r="183">
      <c r="A183" t="inlineStr"/>
      <c r="B183" t="inlineStr"/>
      <c r="C183" t="inlineStr">
        <is>
          <t>DC</t>
        </is>
      </c>
      <c r="D183" t="inlineStr">
        <is>
          <t>ESTN%</t>
        </is>
      </c>
      <c r="E183" t="inlineStr"/>
      <c r="F183" s="2">
        <f>MAX(F179-F181,0)/F181</f>
        <v/>
      </c>
      <c r="G183" s="2">
        <f>MAX(G179-G181,0)/G181</f>
        <v/>
      </c>
      <c r="H183" s="2">
        <f>MAX(H179-H181,0)/H181</f>
        <v/>
      </c>
      <c r="I183" s="2">
        <f>MAX(I179-I181,0)/I181</f>
        <v/>
      </c>
      <c r="J183" s="2">
        <f>MAX(J179-J181,0)/J181</f>
        <v/>
      </c>
      <c r="K183" s="2">
        <f>MAX(K179-K181,0)/K181</f>
        <v/>
      </c>
      <c r="L183" s="2">
        <f>MAX(L179-L181,0)/L181</f>
        <v/>
      </c>
      <c r="M183" s="2">
        <f>MAX(M179-M181,0)/M181</f>
        <v/>
      </c>
      <c r="N183" s="2">
        <f>MAX(N179-N181,0)/N181</f>
        <v/>
      </c>
      <c r="O183" s="2">
        <f>MAX(O179-O181,0)/O181</f>
        <v/>
      </c>
      <c r="P183" s="2">
        <f>MAX(P179-P181,0)/P181</f>
        <v/>
      </c>
      <c r="Q183" s="2">
        <f>MAX(Q179-Q181,0)/Q181</f>
        <v/>
      </c>
    </row>
    <row r="184">
      <c r="A184" t="inlineStr"/>
      <c r="B184" t="inlineStr"/>
      <c r="C184" t="inlineStr">
        <is>
          <t>DC</t>
        </is>
      </c>
      <c r="D184" t="inlineStr">
        <is>
          <t>Shortage</t>
        </is>
      </c>
      <c r="E184" t="inlineStr">
        <is>
          <t>Inv</t>
        </is>
      </c>
      <c r="F184">
        <f>MAX(0,F180-F179)</f>
        <v/>
      </c>
      <c r="G184">
        <f>MAX(0,G180-G179)</f>
        <v/>
      </c>
      <c r="H184">
        <f>MAX(0,H180-H179)</f>
        <v/>
      </c>
      <c r="I184">
        <f>MAX(0,I180-I179)</f>
        <v/>
      </c>
      <c r="J184">
        <f>MAX(0,J180-J179)</f>
        <v/>
      </c>
      <c r="K184">
        <f>MAX(0,K180-K179)</f>
        <v/>
      </c>
      <c r="L184">
        <f>MAX(0,L180-L179)</f>
        <v/>
      </c>
      <c r="M184">
        <f>MAX(0,M180-M179)</f>
        <v/>
      </c>
      <c r="N184">
        <f>MAX(0,N180-N179)</f>
        <v/>
      </c>
      <c r="O184">
        <f>MAX(0,O180-O179)</f>
        <v/>
      </c>
      <c r="P184">
        <f>MAX(0,P180-P179)</f>
        <v/>
      </c>
      <c r="Q184">
        <f>MAX(0,Q180-Q179)</f>
        <v/>
      </c>
    </row>
    <row r="185">
      <c r="A185" t="inlineStr"/>
      <c r="B185" t="inlineStr"/>
      <c r="C185" t="inlineStr">
        <is>
          <t>DC</t>
        </is>
      </c>
      <c r="D185" t="inlineStr">
        <is>
          <t>Excess</t>
        </is>
      </c>
      <c r="E185" t="inlineStr">
        <is>
          <t>Inv</t>
        </is>
      </c>
      <c r="F185">
        <f>MAX(0,F179-F181)</f>
        <v/>
      </c>
      <c r="G185">
        <f>MAX(0,G179-G181)</f>
        <v/>
      </c>
      <c r="H185">
        <f>MAX(0,H179-H181)</f>
        <v/>
      </c>
      <c r="I185">
        <f>MAX(0,I179-I181)</f>
        <v/>
      </c>
      <c r="J185">
        <f>MAX(0,J179-J181)</f>
        <v/>
      </c>
      <c r="K185">
        <f>MAX(0,K179-K181)</f>
        <v/>
      </c>
      <c r="L185">
        <f>MAX(0,L179-L181)</f>
        <v/>
      </c>
      <c r="M185">
        <f>MAX(0,M179-M181)</f>
        <v/>
      </c>
      <c r="N185">
        <f>MAX(0,N179-N181)</f>
        <v/>
      </c>
      <c r="O185">
        <f>MAX(0,O179-O181)</f>
        <v/>
      </c>
      <c r="P185">
        <f>MAX(0,P179-P181)</f>
        <v/>
      </c>
      <c r="Q185">
        <f>MAX(0,Q179-Q181)</f>
        <v/>
      </c>
    </row>
    <row r="186">
      <c r="A186" t="inlineStr"/>
      <c r="B186" t="inlineStr"/>
      <c r="C186" t="inlineStr">
        <is>
          <t>DC</t>
        </is>
      </c>
      <c r="D186" t="inlineStr">
        <is>
          <t>Out of stock Value($)</t>
        </is>
      </c>
      <c r="E186" t="inlineStr">
        <is>
          <t>Val</t>
        </is>
      </c>
    </row>
    <row r="187">
      <c r="A187" t="inlineStr"/>
      <c r="B187" t="inlineStr"/>
      <c r="C187" t="inlineStr">
        <is>
          <t>DC</t>
        </is>
      </c>
      <c r="D187" t="inlineStr">
        <is>
          <t>Excess and over($)</t>
        </is>
      </c>
      <c r="E187" t="inlineStr">
        <is>
          <t>Val</t>
        </is>
      </c>
    </row>
    <row r="188"/>
    <row r="189">
      <c r="A189" t="inlineStr">
        <is>
          <t>SKU_0003</t>
        </is>
      </c>
      <c r="B189" t="inlineStr">
        <is>
          <t>DC2</t>
        </is>
      </c>
      <c r="C189" t="inlineStr">
        <is>
          <t>DC</t>
        </is>
      </c>
      <c r="D189" t="inlineStr">
        <is>
          <t>Start Inventory</t>
        </is>
      </c>
      <c r="E189" t="inlineStr">
        <is>
          <t>Inv</t>
        </is>
      </c>
      <c r="F189" t="n">
        <v>722</v>
      </c>
      <c r="G189">
        <f>F196</f>
        <v/>
      </c>
      <c r="H189">
        <f>G196</f>
        <v/>
      </c>
      <c r="I189">
        <f>H196</f>
        <v/>
      </c>
      <c r="J189">
        <f>I196</f>
        <v/>
      </c>
      <c r="K189">
        <f>J196</f>
        <v/>
      </c>
      <c r="L189">
        <f>K196</f>
        <v/>
      </c>
      <c r="M189">
        <f>L196</f>
        <v/>
      </c>
      <c r="N189">
        <f>M196</f>
        <v/>
      </c>
      <c r="O189">
        <f>N196</f>
        <v/>
      </c>
      <c r="P189">
        <f>O196</f>
        <v/>
      </c>
      <c r="Q189">
        <f>P196</f>
        <v/>
      </c>
    </row>
    <row r="190">
      <c r="A190" t="inlineStr"/>
      <c r="B190" t="inlineStr"/>
      <c r="C190" t="inlineStr">
        <is>
          <t>DC</t>
        </is>
      </c>
      <c r="D190" t="inlineStr">
        <is>
          <t>Total Forecast/Order</t>
        </is>
      </c>
      <c r="E190" t="inlineStr">
        <is>
          <t>Demand</t>
        </is>
      </c>
      <c r="F190" t="n">
        <v>64</v>
      </c>
      <c r="G190" t="n">
        <v>35</v>
      </c>
      <c r="H190" t="n">
        <v>32</v>
      </c>
      <c r="I190" t="n">
        <v>48</v>
      </c>
      <c r="J190" t="n">
        <v>36</v>
      </c>
      <c r="K190" t="n">
        <v>55</v>
      </c>
      <c r="L190" t="n">
        <v>52</v>
      </c>
      <c r="M190" t="n">
        <v>39</v>
      </c>
      <c r="N190" t="n">
        <v>39</v>
      </c>
      <c r="O190" t="n">
        <v>53</v>
      </c>
      <c r="P190" t="n">
        <v>47</v>
      </c>
      <c r="Q190" t="n">
        <v>38</v>
      </c>
    </row>
    <row r="191">
      <c r="A191" t="inlineStr"/>
      <c r="B191" t="inlineStr"/>
      <c r="C191" t="inlineStr">
        <is>
          <t>DC</t>
        </is>
      </c>
      <c r="D191" t="inlineStr">
        <is>
          <t>Start Backorder</t>
        </is>
      </c>
      <c r="E191" t="inlineStr">
        <is>
          <t>Demand</t>
        </is>
      </c>
      <c r="F191" t="n">
        <v>0</v>
      </c>
      <c r="G191">
        <f>F195</f>
        <v/>
      </c>
      <c r="H191">
        <f>G195</f>
        <v/>
      </c>
      <c r="I191">
        <f>H195</f>
        <v/>
      </c>
      <c r="J191">
        <f>I195</f>
        <v/>
      </c>
      <c r="K191">
        <f>J195</f>
        <v/>
      </c>
      <c r="L191">
        <f>K195</f>
        <v/>
      </c>
      <c r="M191">
        <f>L195</f>
        <v/>
      </c>
      <c r="N191">
        <f>M195</f>
        <v/>
      </c>
      <c r="O191">
        <f>N195</f>
        <v/>
      </c>
      <c r="P191">
        <f>O195</f>
        <v/>
      </c>
      <c r="Q191">
        <f>P195</f>
        <v/>
      </c>
    </row>
    <row r="192">
      <c r="A192" t="inlineStr"/>
      <c r="B192" t="inlineStr"/>
      <c r="C192" t="inlineStr">
        <is>
          <t>DC</t>
        </is>
      </c>
      <c r="D192" t="inlineStr">
        <is>
          <t>Total Demand</t>
        </is>
      </c>
      <c r="E192" t="inlineStr">
        <is>
          <t>Demand</t>
        </is>
      </c>
      <c r="F192">
        <f>F190+F191</f>
        <v/>
      </c>
      <c r="G192">
        <f>G190+G191</f>
        <v/>
      </c>
      <c r="H192">
        <f>H190+H191</f>
        <v/>
      </c>
      <c r="I192">
        <f>I190+I191</f>
        <v/>
      </c>
      <c r="J192">
        <f>J190+J191</f>
        <v/>
      </c>
      <c r="K192">
        <f>K190+K191</f>
        <v/>
      </c>
      <c r="L192">
        <f>L190+L191</f>
        <v/>
      </c>
      <c r="M192">
        <f>M190+M191</f>
        <v/>
      </c>
      <c r="N192">
        <f>N190+N191</f>
        <v/>
      </c>
      <c r="O192">
        <f>O190+O191</f>
        <v/>
      </c>
      <c r="P192">
        <f>P190+P191</f>
        <v/>
      </c>
      <c r="Q192">
        <f>Q190+Q191</f>
        <v/>
      </c>
    </row>
    <row r="193">
      <c r="A193" t="inlineStr"/>
      <c r="B193" t="inlineStr"/>
      <c r="C193" t="inlineStr">
        <is>
          <t>DC</t>
        </is>
      </c>
      <c r="D193" t="inlineStr">
        <is>
          <t>Dist. Receipt Planned</t>
        </is>
      </c>
      <c r="E193" t="inlineStr">
        <is>
          <t>Supply</t>
        </is>
      </c>
      <c r="F193" t="n">
        <v>0</v>
      </c>
      <c r="G193" t="n">
        <v>140</v>
      </c>
      <c r="H193" t="n">
        <v>0</v>
      </c>
      <c r="I193" t="n">
        <v>0</v>
      </c>
      <c r="J193" t="n">
        <v>82</v>
      </c>
      <c r="K193" t="n">
        <v>84</v>
      </c>
      <c r="L193" t="n">
        <v>98</v>
      </c>
      <c r="M193" t="n">
        <v>0</v>
      </c>
      <c r="N193" t="n">
        <v>76</v>
      </c>
      <c r="O193" t="n">
        <v>93</v>
      </c>
      <c r="P193" t="n">
        <v>99</v>
      </c>
      <c r="Q193" t="n">
        <v>0</v>
      </c>
    </row>
    <row r="194">
      <c r="A194" t="inlineStr"/>
      <c r="B194" t="inlineStr"/>
      <c r="C194" t="inlineStr">
        <is>
          <t>DC</t>
        </is>
      </c>
      <c r="D194" t="inlineStr">
        <is>
          <t>Total Supply</t>
        </is>
      </c>
      <c r="E194" t="inlineStr">
        <is>
          <t>Supply</t>
        </is>
      </c>
      <c r="F194">
        <f>F193</f>
        <v/>
      </c>
      <c r="G194">
        <f>G193</f>
        <v/>
      </c>
      <c r="H194">
        <f>H193</f>
        <v/>
      </c>
      <c r="I194">
        <f>I193</f>
        <v/>
      </c>
      <c r="J194">
        <f>J193</f>
        <v/>
      </c>
      <c r="K194">
        <f>K193</f>
        <v/>
      </c>
      <c r="L194">
        <f>L193</f>
        <v/>
      </c>
      <c r="M194">
        <f>M193</f>
        <v/>
      </c>
      <c r="N194">
        <f>N193</f>
        <v/>
      </c>
      <c r="O194">
        <f>O193</f>
        <v/>
      </c>
      <c r="P194">
        <f>P193</f>
        <v/>
      </c>
      <c r="Q194">
        <f>Q193</f>
        <v/>
      </c>
    </row>
    <row r="195">
      <c r="A195" t="inlineStr"/>
      <c r="B195" t="inlineStr"/>
      <c r="C195" t="inlineStr">
        <is>
          <t>DC</t>
        </is>
      </c>
      <c r="D195" t="inlineStr">
        <is>
          <t>End. Backorder</t>
        </is>
      </c>
      <c r="E195" t="inlineStr">
        <is>
          <t>Demand</t>
        </is>
      </c>
      <c r="F195">
        <f>-MIN(0,F189+F194-F192)</f>
        <v/>
      </c>
      <c r="G195">
        <f>-MIN(0,G189+G194-G192)</f>
        <v/>
      </c>
      <c r="H195">
        <f>-MIN(0,H189+H194-H192)</f>
        <v/>
      </c>
      <c r="I195">
        <f>-MIN(0,I189+I194-I192)</f>
        <v/>
      </c>
      <c r="J195">
        <f>-MIN(0,J189+J194-J192)</f>
        <v/>
      </c>
      <c r="K195">
        <f>-MIN(0,K189+K194-K192)</f>
        <v/>
      </c>
      <c r="L195">
        <f>-MIN(0,L189+L194-L192)</f>
        <v/>
      </c>
      <c r="M195">
        <f>-MIN(0,M189+M194-M192)</f>
        <v/>
      </c>
      <c r="N195">
        <f>-MIN(0,N189+N194-N192)</f>
        <v/>
      </c>
      <c r="O195">
        <f>-MIN(0,O189+O194-O192)</f>
        <v/>
      </c>
      <c r="P195">
        <f>-MIN(0,P189+P194-P192)</f>
        <v/>
      </c>
      <c r="Q195">
        <f>-MIN(0,Q189+Q194-Q192)</f>
        <v/>
      </c>
    </row>
    <row r="196">
      <c r="A196" t="inlineStr"/>
      <c r="B196" t="inlineStr"/>
      <c r="C196" t="inlineStr">
        <is>
          <t>DC</t>
        </is>
      </c>
      <c r="D196" t="inlineStr">
        <is>
          <t>End. Inventory</t>
        </is>
      </c>
      <c r="E196" t="inlineStr">
        <is>
          <t>Inv</t>
        </is>
      </c>
      <c r="F196">
        <f>MAX(F189+F194-F192,0)</f>
        <v/>
      </c>
      <c r="G196">
        <f>MAX(G189+G194-G192,0)</f>
        <v/>
      </c>
      <c r="H196">
        <f>MAX(H189+H194-H192,0)</f>
        <v/>
      </c>
      <c r="I196">
        <f>MAX(I189+I194-I192,0)</f>
        <v/>
      </c>
      <c r="J196">
        <f>MAX(J189+J194-J192,0)</f>
        <v/>
      </c>
      <c r="K196">
        <f>MAX(K189+K194-K192,0)</f>
        <v/>
      </c>
      <c r="L196">
        <f>MAX(L189+L194-L192,0)</f>
        <v/>
      </c>
      <c r="M196">
        <f>MAX(M189+M194-M192,0)</f>
        <v/>
      </c>
      <c r="N196">
        <f>MAX(N189+N194-N192,0)</f>
        <v/>
      </c>
      <c r="O196">
        <f>MAX(O189+O194-O192,0)</f>
        <v/>
      </c>
      <c r="P196">
        <f>MAX(P189+P194-P192,0)</f>
        <v/>
      </c>
      <c r="Q196">
        <f>MAX(Q189+Q194-Q192,0)</f>
        <v/>
      </c>
    </row>
    <row r="197">
      <c r="A197" t="inlineStr"/>
      <c r="B197" t="inlineStr"/>
      <c r="C197" t="inlineStr">
        <is>
          <t>DC</t>
        </is>
      </c>
      <c r="D197" t="inlineStr">
        <is>
          <t>MSTN Thresold</t>
        </is>
      </c>
      <c r="E197" t="inlineStr">
        <is>
          <t>Inv</t>
        </is>
      </c>
      <c r="F197" t="n">
        <v>195</v>
      </c>
      <c r="G197" t="n">
        <v>195</v>
      </c>
      <c r="H197" t="n">
        <v>195</v>
      </c>
      <c r="I197" t="n">
        <v>195</v>
      </c>
      <c r="J197" t="n">
        <v>195</v>
      </c>
      <c r="K197" t="n">
        <v>195</v>
      </c>
      <c r="L197" t="n">
        <v>195</v>
      </c>
      <c r="M197" t="n">
        <v>195</v>
      </c>
      <c r="N197" t="n">
        <v>195</v>
      </c>
      <c r="O197" t="n">
        <v>195</v>
      </c>
      <c r="P197" t="n">
        <v>195</v>
      </c>
      <c r="Q197" t="n">
        <v>195</v>
      </c>
    </row>
    <row r="198">
      <c r="A198" t="inlineStr"/>
      <c r="B198" t="inlineStr"/>
      <c r="C198" t="inlineStr">
        <is>
          <t>DC</t>
        </is>
      </c>
      <c r="D198" t="inlineStr">
        <is>
          <t>ESTN Thresold</t>
        </is>
      </c>
      <c r="E198" t="inlineStr">
        <is>
          <t>Inv</t>
        </is>
      </c>
      <c r="F198" t="n">
        <v>775</v>
      </c>
      <c r="G198" t="n">
        <v>775</v>
      </c>
      <c r="H198" t="n">
        <v>775</v>
      </c>
      <c r="I198" t="n">
        <v>775</v>
      </c>
      <c r="J198" t="n">
        <v>775</v>
      </c>
      <c r="K198" t="n">
        <v>775</v>
      </c>
      <c r="L198" t="n">
        <v>775</v>
      </c>
      <c r="M198" t="n">
        <v>775</v>
      </c>
      <c r="N198" t="n">
        <v>775</v>
      </c>
      <c r="O198" t="n">
        <v>775</v>
      </c>
      <c r="P198" t="n">
        <v>775</v>
      </c>
      <c r="Q198" t="n">
        <v>775</v>
      </c>
    </row>
    <row r="199">
      <c r="A199" t="inlineStr"/>
      <c r="B199" t="inlineStr"/>
      <c r="C199" t="inlineStr">
        <is>
          <t>DC</t>
        </is>
      </c>
      <c r="D199" t="inlineStr">
        <is>
          <t>MSTN%</t>
        </is>
      </c>
      <c r="E199" t="inlineStr"/>
      <c r="F199" s="2">
        <f>IFERROR(MIN(F196,F197)/F197,1)</f>
        <v/>
      </c>
      <c r="G199" s="2">
        <f>IFERROR(MIN(G196,G197)/G197,1)</f>
        <v/>
      </c>
      <c r="H199" s="2">
        <f>IFERROR(MIN(H196,H197)/H197,1)</f>
        <v/>
      </c>
      <c r="I199" s="2">
        <f>IFERROR(MIN(I196,I197)/I197,1)</f>
        <v/>
      </c>
      <c r="J199" s="2">
        <f>IFERROR(MIN(J196,J197)/J197,1)</f>
        <v/>
      </c>
      <c r="K199" s="2">
        <f>IFERROR(MIN(K196,K197)/K197,1)</f>
        <v/>
      </c>
      <c r="L199" s="2">
        <f>IFERROR(MIN(L196,L197)/L197,1)</f>
        <v/>
      </c>
      <c r="M199" s="2">
        <f>IFERROR(MIN(M196,M197)/M197,1)</f>
        <v/>
      </c>
      <c r="N199" s="2">
        <f>IFERROR(MIN(N196,N197)/N197,1)</f>
        <v/>
      </c>
      <c r="O199" s="2">
        <f>IFERROR(MIN(O196,O197)/O197,1)</f>
        <v/>
      </c>
      <c r="P199" s="2">
        <f>IFERROR(MIN(P196,P197)/P197,1)</f>
        <v/>
      </c>
      <c r="Q199" s="2">
        <f>IFERROR(MIN(Q196,Q197)/Q197,1)</f>
        <v/>
      </c>
    </row>
    <row r="200">
      <c r="A200" t="inlineStr"/>
      <c r="B200" t="inlineStr"/>
      <c r="C200" t="inlineStr">
        <is>
          <t>DC</t>
        </is>
      </c>
      <c r="D200" t="inlineStr">
        <is>
          <t>ESTN%</t>
        </is>
      </c>
      <c r="E200" t="inlineStr"/>
      <c r="F200" s="2">
        <f>MAX(F196-F198,0)/F198</f>
        <v/>
      </c>
      <c r="G200" s="2">
        <f>MAX(G196-G198,0)/G198</f>
        <v/>
      </c>
      <c r="H200" s="2">
        <f>MAX(H196-H198,0)/H198</f>
        <v/>
      </c>
      <c r="I200" s="2">
        <f>MAX(I196-I198,0)/I198</f>
        <v/>
      </c>
      <c r="J200" s="2">
        <f>MAX(J196-J198,0)/J198</f>
        <v/>
      </c>
      <c r="K200" s="2">
        <f>MAX(K196-K198,0)/K198</f>
        <v/>
      </c>
      <c r="L200" s="2">
        <f>MAX(L196-L198,0)/L198</f>
        <v/>
      </c>
      <c r="M200" s="2">
        <f>MAX(M196-M198,0)/M198</f>
        <v/>
      </c>
      <c r="N200" s="2">
        <f>MAX(N196-N198,0)/N198</f>
        <v/>
      </c>
      <c r="O200" s="2">
        <f>MAX(O196-O198,0)/O198</f>
        <v/>
      </c>
      <c r="P200" s="2">
        <f>MAX(P196-P198,0)/P198</f>
        <v/>
      </c>
      <c r="Q200" s="2">
        <f>MAX(Q196-Q198,0)/Q198</f>
        <v/>
      </c>
    </row>
    <row r="201">
      <c r="A201" t="inlineStr"/>
      <c r="B201" t="inlineStr"/>
      <c r="C201" t="inlineStr">
        <is>
          <t>DC</t>
        </is>
      </c>
      <c r="D201" t="inlineStr">
        <is>
          <t>Shortage</t>
        </is>
      </c>
      <c r="E201" t="inlineStr">
        <is>
          <t>Inv</t>
        </is>
      </c>
      <c r="F201">
        <f>MAX(0,F197-F196)</f>
        <v/>
      </c>
      <c r="G201">
        <f>MAX(0,G197-G196)</f>
        <v/>
      </c>
      <c r="H201">
        <f>MAX(0,H197-H196)</f>
        <v/>
      </c>
      <c r="I201">
        <f>MAX(0,I197-I196)</f>
        <v/>
      </c>
      <c r="J201">
        <f>MAX(0,J197-J196)</f>
        <v/>
      </c>
      <c r="K201">
        <f>MAX(0,K197-K196)</f>
        <v/>
      </c>
      <c r="L201">
        <f>MAX(0,L197-L196)</f>
        <v/>
      </c>
      <c r="M201">
        <f>MAX(0,M197-M196)</f>
        <v/>
      </c>
      <c r="N201">
        <f>MAX(0,N197-N196)</f>
        <v/>
      </c>
      <c r="O201">
        <f>MAX(0,O197-O196)</f>
        <v/>
      </c>
      <c r="P201">
        <f>MAX(0,P197-P196)</f>
        <v/>
      </c>
      <c r="Q201">
        <f>MAX(0,Q197-Q196)</f>
        <v/>
      </c>
    </row>
    <row r="202">
      <c r="A202" t="inlineStr"/>
      <c r="B202" t="inlineStr"/>
      <c r="C202" t="inlineStr">
        <is>
          <t>DC</t>
        </is>
      </c>
      <c r="D202" t="inlineStr">
        <is>
          <t>Excess</t>
        </is>
      </c>
      <c r="E202" t="inlineStr">
        <is>
          <t>Inv</t>
        </is>
      </c>
      <c r="F202">
        <f>MAX(0,F196-F198)</f>
        <v/>
      </c>
      <c r="G202">
        <f>MAX(0,G196-G198)</f>
        <v/>
      </c>
      <c r="H202">
        <f>MAX(0,H196-H198)</f>
        <v/>
      </c>
      <c r="I202">
        <f>MAX(0,I196-I198)</f>
        <v/>
      </c>
      <c r="J202">
        <f>MAX(0,J196-J198)</f>
        <v/>
      </c>
      <c r="K202">
        <f>MAX(0,K196-K198)</f>
        <v/>
      </c>
      <c r="L202">
        <f>MAX(0,L196-L198)</f>
        <v/>
      </c>
      <c r="M202">
        <f>MAX(0,M196-M198)</f>
        <v/>
      </c>
      <c r="N202">
        <f>MAX(0,N196-N198)</f>
        <v/>
      </c>
      <c r="O202">
        <f>MAX(0,O196-O198)</f>
        <v/>
      </c>
      <c r="P202">
        <f>MAX(0,P196-P198)</f>
        <v/>
      </c>
      <c r="Q202">
        <f>MAX(0,Q196-Q198)</f>
        <v/>
      </c>
    </row>
    <row r="203">
      <c r="A203" t="inlineStr"/>
      <c r="B203" t="inlineStr"/>
      <c r="C203" t="inlineStr">
        <is>
          <t>DC</t>
        </is>
      </c>
      <c r="D203" t="inlineStr">
        <is>
          <t>Out of stock Value($)</t>
        </is>
      </c>
      <c r="E203" t="inlineStr">
        <is>
          <t>Val</t>
        </is>
      </c>
    </row>
    <row r="204">
      <c r="A204" t="inlineStr"/>
      <c r="B204" t="inlineStr"/>
      <c r="C204" t="inlineStr">
        <is>
          <t>DC</t>
        </is>
      </c>
      <c r="D204" t="inlineStr">
        <is>
          <t>Excess and over($)</t>
        </is>
      </c>
      <c r="E204" t="inlineStr">
        <is>
          <t>Val</t>
        </is>
      </c>
    </row>
    <row r="205"/>
    <row r="206">
      <c r="A206" t="inlineStr">
        <is>
          <t>SKU_0003</t>
        </is>
      </c>
      <c r="B206" t="inlineStr">
        <is>
          <t>DC4</t>
        </is>
      </c>
      <c r="C206" t="inlineStr">
        <is>
          <t>DC</t>
        </is>
      </c>
      <c r="D206" t="inlineStr">
        <is>
          <t>Start Inventory</t>
        </is>
      </c>
      <c r="E206" t="inlineStr">
        <is>
          <t>Inv</t>
        </is>
      </c>
      <c r="F206" t="n">
        <v>404</v>
      </c>
      <c r="G206">
        <f>F213</f>
        <v/>
      </c>
      <c r="H206">
        <f>G213</f>
        <v/>
      </c>
      <c r="I206">
        <f>H213</f>
        <v/>
      </c>
      <c r="J206">
        <f>I213</f>
        <v/>
      </c>
      <c r="K206">
        <f>J213</f>
        <v/>
      </c>
      <c r="L206">
        <f>K213</f>
        <v/>
      </c>
      <c r="M206">
        <f>L213</f>
        <v/>
      </c>
      <c r="N206">
        <f>M213</f>
        <v/>
      </c>
      <c r="O206">
        <f>N213</f>
        <v/>
      </c>
      <c r="P206">
        <f>O213</f>
        <v/>
      </c>
      <c r="Q206">
        <f>P213</f>
        <v/>
      </c>
    </row>
    <row r="207">
      <c r="A207" t="inlineStr"/>
      <c r="B207" t="inlineStr"/>
      <c r="C207" t="inlineStr">
        <is>
          <t>DC</t>
        </is>
      </c>
      <c r="D207" t="inlineStr">
        <is>
          <t>Total Forecast/Order</t>
        </is>
      </c>
      <c r="E207" t="inlineStr">
        <is>
          <t>Demand</t>
        </is>
      </c>
      <c r="F207" t="n">
        <v>116</v>
      </c>
      <c r="G207" t="n">
        <v>150</v>
      </c>
      <c r="H207" t="n">
        <v>92</v>
      </c>
      <c r="I207" t="n">
        <v>112</v>
      </c>
      <c r="J207" t="n">
        <v>83</v>
      </c>
      <c r="K207" t="n">
        <v>129</v>
      </c>
      <c r="L207" t="n">
        <v>102</v>
      </c>
      <c r="M207" t="n">
        <v>96</v>
      </c>
      <c r="N207" t="n">
        <v>122</v>
      </c>
      <c r="O207" t="n">
        <v>115</v>
      </c>
      <c r="P207" t="n">
        <v>103</v>
      </c>
      <c r="Q207" t="n">
        <v>134</v>
      </c>
    </row>
    <row r="208">
      <c r="A208" t="inlineStr"/>
      <c r="B208" t="inlineStr"/>
      <c r="C208" t="inlineStr">
        <is>
          <t>DC</t>
        </is>
      </c>
      <c r="D208" t="inlineStr">
        <is>
          <t>Start Backorder</t>
        </is>
      </c>
      <c r="E208" t="inlineStr">
        <is>
          <t>Demand</t>
        </is>
      </c>
      <c r="F208" t="n">
        <v>0</v>
      </c>
      <c r="G208">
        <f>F212</f>
        <v/>
      </c>
      <c r="H208">
        <f>G212</f>
        <v/>
      </c>
      <c r="I208">
        <f>H212</f>
        <v/>
      </c>
      <c r="J208">
        <f>I212</f>
        <v/>
      </c>
      <c r="K208">
        <f>J212</f>
        <v/>
      </c>
      <c r="L208">
        <f>K212</f>
        <v/>
      </c>
      <c r="M208">
        <f>L212</f>
        <v/>
      </c>
      <c r="N208">
        <f>M212</f>
        <v/>
      </c>
      <c r="O208">
        <f>N212</f>
        <v/>
      </c>
      <c r="P208">
        <f>O212</f>
        <v/>
      </c>
      <c r="Q208">
        <f>P212</f>
        <v/>
      </c>
    </row>
    <row r="209">
      <c r="A209" t="inlineStr"/>
      <c r="B209" t="inlineStr"/>
      <c r="C209" t="inlineStr">
        <is>
          <t>DC</t>
        </is>
      </c>
      <c r="D209" t="inlineStr">
        <is>
          <t>Total Demand</t>
        </is>
      </c>
      <c r="E209" t="inlineStr">
        <is>
          <t>Demand</t>
        </is>
      </c>
      <c r="F209">
        <f>F207+F208</f>
        <v/>
      </c>
      <c r="G209">
        <f>G207+G208</f>
        <v/>
      </c>
      <c r="H209">
        <f>H207+H208</f>
        <v/>
      </c>
      <c r="I209">
        <f>I207+I208</f>
        <v/>
      </c>
      <c r="J209">
        <f>J207+J208</f>
        <v/>
      </c>
      <c r="K209">
        <f>K207+K208</f>
        <v/>
      </c>
      <c r="L209">
        <f>L207+L208</f>
        <v/>
      </c>
      <c r="M209">
        <f>M207+M208</f>
        <v/>
      </c>
      <c r="N209">
        <f>N207+N208</f>
        <v/>
      </c>
      <c r="O209">
        <f>O207+O208</f>
        <v/>
      </c>
      <c r="P209">
        <f>P207+P208</f>
        <v/>
      </c>
      <c r="Q209">
        <f>Q207+Q208</f>
        <v/>
      </c>
    </row>
    <row r="210">
      <c r="A210" t="inlineStr"/>
      <c r="B210" t="inlineStr"/>
      <c r="C210" t="inlineStr">
        <is>
          <t>DC</t>
        </is>
      </c>
      <c r="D210" t="inlineStr">
        <is>
          <t>Dist. Receipt Planned</t>
        </is>
      </c>
      <c r="E210" t="inlineStr">
        <is>
          <t>Supply</t>
        </is>
      </c>
      <c r="F210" t="n">
        <v>268</v>
      </c>
      <c r="G210" t="n">
        <v>0</v>
      </c>
      <c r="H210" t="n">
        <v>635</v>
      </c>
      <c r="I210" t="n">
        <v>0</v>
      </c>
      <c r="J210" t="n">
        <v>201</v>
      </c>
      <c r="K210" t="n">
        <v>202</v>
      </c>
      <c r="L210" t="n">
        <v>331</v>
      </c>
      <c r="M210" t="n">
        <v>266</v>
      </c>
      <c r="N210" t="n">
        <v>244</v>
      </c>
      <c r="O210" t="n">
        <v>0</v>
      </c>
      <c r="P210" t="n">
        <v>291</v>
      </c>
      <c r="Q210" t="n">
        <v>0</v>
      </c>
    </row>
    <row r="211">
      <c r="A211" t="inlineStr"/>
      <c r="B211" t="inlineStr"/>
      <c r="C211" t="inlineStr">
        <is>
          <t>DC</t>
        </is>
      </c>
      <c r="D211" t="inlineStr">
        <is>
          <t>Total Supply</t>
        </is>
      </c>
      <c r="E211" t="inlineStr">
        <is>
          <t>Supply</t>
        </is>
      </c>
      <c r="F211">
        <f>F210</f>
        <v/>
      </c>
      <c r="G211">
        <f>G210</f>
        <v/>
      </c>
      <c r="H211">
        <f>H210</f>
        <v/>
      </c>
      <c r="I211">
        <f>I210</f>
        <v/>
      </c>
      <c r="J211">
        <f>J210</f>
        <v/>
      </c>
      <c r="K211">
        <f>K210</f>
        <v/>
      </c>
      <c r="L211">
        <f>L210</f>
        <v/>
      </c>
      <c r="M211">
        <f>M210</f>
        <v/>
      </c>
      <c r="N211">
        <f>N210</f>
        <v/>
      </c>
      <c r="O211">
        <f>O210</f>
        <v/>
      </c>
      <c r="P211">
        <f>P210</f>
        <v/>
      </c>
      <c r="Q211">
        <f>Q210</f>
        <v/>
      </c>
    </row>
    <row r="212">
      <c r="A212" t="inlineStr"/>
      <c r="B212" t="inlineStr"/>
      <c r="C212" t="inlineStr">
        <is>
          <t>DC</t>
        </is>
      </c>
      <c r="D212" t="inlineStr">
        <is>
          <t>End. Backorder</t>
        </is>
      </c>
      <c r="E212" t="inlineStr">
        <is>
          <t>Demand</t>
        </is>
      </c>
      <c r="F212">
        <f>-MIN(0,F206+F211-F209)</f>
        <v/>
      </c>
      <c r="G212">
        <f>-MIN(0,G206+G211-G209)</f>
        <v/>
      </c>
      <c r="H212">
        <f>-MIN(0,H206+H211-H209)</f>
        <v/>
      </c>
      <c r="I212">
        <f>-MIN(0,I206+I211-I209)</f>
        <v/>
      </c>
      <c r="J212">
        <f>-MIN(0,J206+J211-J209)</f>
        <v/>
      </c>
      <c r="K212">
        <f>-MIN(0,K206+K211-K209)</f>
        <v/>
      </c>
      <c r="L212">
        <f>-MIN(0,L206+L211-L209)</f>
        <v/>
      </c>
      <c r="M212">
        <f>-MIN(0,M206+M211-M209)</f>
        <v/>
      </c>
      <c r="N212">
        <f>-MIN(0,N206+N211-N209)</f>
        <v/>
      </c>
      <c r="O212">
        <f>-MIN(0,O206+O211-O209)</f>
        <v/>
      </c>
      <c r="P212">
        <f>-MIN(0,P206+P211-P209)</f>
        <v/>
      </c>
      <c r="Q212">
        <f>-MIN(0,Q206+Q211-Q209)</f>
        <v/>
      </c>
    </row>
    <row r="213">
      <c r="A213" t="inlineStr"/>
      <c r="B213" t="inlineStr"/>
      <c r="C213" t="inlineStr">
        <is>
          <t>DC</t>
        </is>
      </c>
      <c r="D213" t="inlineStr">
        <is>
          <t>End. Inventory</t>
        </is>
      </c>
      <c r="E213" t="inlineStr">
        <is>
          <t>Inv</t>
        </is>
      </c>
      <c r="F213">
        <f>MAX(F206+F211-F209,0)</f>
        <v/>
      </c>
      <c r="G213">
        <f>MAX(G206+G211-G209,0)</f>
        <v/>
      </c>
      <c r="H213">
        <f>MAX(H206+H211-H209,0)</f>
        <v/>
      </c>
      <c r="I213">
        <f>MAX(I206+I211-I209,0)</f>
        <v/>
      </c>
      <c r="J213">
        <f>MAX(J206+J211-J209,0)</f>
        <v/>
      </c>
      <c r="K213">
        <f>MAX(K206+K211-K209,0)</f>
        <v/>
      </c>
      <c r="L213">
        <f>MAX(L206+L211-L209,0)</f>
        <v/>
      </c>
      <c r="M213">
        <f>MAX(M206+M211-M209,0)</f>
        <v/>
      </c>
      <c r="N213">
        <f>MAX(N206+N211-N209,0)</f>
        <v/>
      </c>
      <c r="O213">
        <f>MAX(O206+O211-O209,0)</f>
        <v/>
      </c>
      <c r="P213">
        <f>MAX(P206+P211-P209,0)</f>
        <v/>
      </c>
      <c r="Q213">
        <f>MAX(Q206+Q211-Q209,0)</f>
        <v/>
      </c>
    </row>
    <row r="214">
      <c r="A214" t="inlineStr"/>
      <c r="B214" t="inlineStr"/>
      <c r="C214" t="inlineStr">
        <is>
          <t>DC</t>
        </is>
      </c>
      <c r="D214" t="inlineStr">
        <is>
          <t>MSTN Thresold</t>
        </is>
      </c>
      <c r="E214" t="inlineStr">
        <is>
          <t>Inv</t>
        </is>
      </c>
      <c r="F214" t="n">
        <v>466</v>
      </c>
      <c r="G214" t="n">
        <v>466</v>
      </c>
      <c r="H214" t="n">
        <v>466</v>
      </c>
      <c r="I214" t="n">
        <v>466</v>
      </c>
      <c r="J214" t="n">
        <v>466</v>
      </c>
      <c r="K214" t="n">
        <v>466</v>
      </c>
      <c r="L214" t="n">
        <v>466</v>
      </c>
      <c r="M214" t="n">
        <v>466</v>
      </c>
      <c r="N214" t="n">
        <v>466</v>
      </c>
      <c r="O214" t="n">
        <v>466</v>
      </c>
      <c r="P214" t="n">
        <v>466</v>
      </c>
      <c r="Q214" t="n">
        <v>466</v>
      </c>
    </row>
    <row r="215">
      <c r="A215" t="inlineStr"/>
      <c r="B215" t="inlineStr"/>
      <c r="C215" t="inlineStr">
        <is>
          <t>DC</t>
        </is>
      </c>
      <c r="D215" t="inlineStr">
        <is>
          <t>ESTN Thresold</t>
        </is>
      </c>
      <c r="E215" t="inlineStr">
        <is>
          <t>Inv</t>
        </is>
      </c>
      <c r="F215" t="n">
        <v>1368</v>
      </c>
      <c r="G215" t="n">
        <v>1368</v>
      </c>
      <c r="H215" t="n">
        <v>1368</v>
      </c>
      <c r="I215" t="n">
        <v>1368</v>
      </c>
      <c r="J215" t="n">
        <v>1368</v>
      </c>
      <c r="K215" t="n">
        <v>1368</v>
      </c>
      <c r="L215" t="n">
        <v>1368</v>
      </c>
      <c r="M215" t="n">
        <v>1368</v>
      </c>
      <c r="N215" t="n">
        <v>1368</v>
      </c>
      <c r="O215" t="n">
        <v>1368</v>
      </c>
      <c r="P215" t="n">
        <v>1368</v>
      </c>
      <c r="Q215" t="n">
        <v>1368</v>
      </c>
    </row>
    <row r="216">
      <c r="A216" t="inlineStr"/>
      <c r="B216" t="inlineStr"/>
      <c r="C216" t="inlineStr">
        <is>
          <t>DC</t>
        </is>
      </c>
      <c r="D216" t="inlineStr">
        <is>
          <t>MSTN%</t>
        </is>
      </c>
      <c r="E216" t="inlineStr"/>
      <c r="F216" s="2">
        <f>IFERROR(MIN(F213,F214)/F214,1)</f>
        <v/>
      </c>
      <c r="G216" s="2">
        <f>IFERROR(MIN(G213,G214)/G214,1)</f>
        <v/>
      </c>
      <c r="H216" s="2">
        <f>IFERROR(MIN(H213,H214)/H214,1)</f>
        <v/>
      </c>
      <c r="I216" s="2">
        <f>IFERROR(MIN(I213,I214)/I214,1)</f>
        <v/>
      </c>
      <c r="J216" s="2">
        <f>IFERROR(MIN(J213,J214)/J214,1)</f>
        <v/>
      </c>
      <c r="K216" s="2">
        <f>IFERROR(MIN(K213,K214)/K214,1)</f>
        <v/>
      </c>
      <c r="L216" s="2">
        <f>IFERROR(MIN(L213,L214)/L214,1)</f>
        <v/>
      </c>
      <c r="M216" s="2">
        <f>IFERROR(MIN(M213,M214)/M214,1)</f>
        <v/>
      </c>
      <c r="N216" s="2">
        <f>IFERROR(MIN(N213,N214)/N214,1)</f>
        <v/>
      </c>
      <c r="O216" s="2">
        <f>IFERROR(MIN(O213,O214)/O214,1)</f>
        <v/>
      </c>
      <c r="P216" s="2">
        <f>IFERROR(MIN(P213,P214)/P214,1)</f>
        <v/>
      </c>
      <c r="Q216" s="2">
        <f>IFERROR(MIN(Q213,Q214)/Q214,1)</f>
        <v/>
      </c>
    </row>
    <row r="217">
      <c r="A217" t="inlineStr"/>
      <c r="B217" t="inlineStr"/>
      <c r="C217" t="inlineStr">
        <is>
          <t>DC</t>
        </is>
      </c>
      <c r="D217" t="inlineStr">
        <is>
          <t>ESTN%</t>
        </is>
      </c>
      <c r="E217" t="inlineStr"/>
      <c r="F217" s="2">
        <f>MAX(F213-F215,0)/F215</f>
        <v/>
      </c>
      <c r="G217" s="2">
        <f>MAX(G213-G215,0)/G215</f>
        <v/>
      </c>
      <c r="H217" s="2">
        <f>MAX(H213-H215,0)/H215</f>
        <v/>
      </c>
      <c r="I217" s="2">
        <f>MAX(I213-I215,0)/I215</f>
        <v/>
      </c>
      <c r="J217" s="2">
        <f>MAX(J213-J215,0)/J215</f>
        <v/>
      </c>
      <c r="K217" s="2">
        <f>MAX(K213-K215,0)/K215</f>
        <v/>
      </c>
      <c r="L217" s="2">
        <f>MAX(L213-L215,0)/L215</f>
        <v/>
      </c>
      <c r="M217" s="2">
        <f>MAX(M213-M215,0)/M215</f>
        <v/>
      </c>
      <c r="N217" s="2">
        <f>MAX(N213-N215,0)/N215</f>
        <v/>
      </c>
      <c r="O217" s="2">
        <f>MAX(O213-O215,0)/O215</f>
        <v/>
      </c>
      <c r="P217" s="2">
        <f>MAX(P213-P215,0)/P215</f>
        <v/>
      </c>
      <c r="Q217" s="2">
        <f>MAX(Q213-Q215,0)/Q215</f>
        <v/>
      </c>
    </row>
    <row r="218">
      <c r="A218" t="inlineStr"/>
      <c r="B218" t="inlineStr"/>
      <c r="C218" t="inlineStr">
        <is>
          <t>DC</t>
        </is>
      </c>
      <c r="D218" t="inlineStr">
        <is>
          <t>Shortage</t>
        </is>
      </c>
      <c r="E218" t="inlineStr">
        <is>
          <t>Inv</t>
        </is>
      </c>
      <c r="F218">
        <f>MAX(0,F214-F213)</f>
        <v/>
      </c>
      <c r="G218">
        <f>MAX(0,G214-G213)</f>
        <v/>
      </c>
      <c r="H218">
        <f>MAX(0,H214-H213)</f>
        <v/>
      </c>
      <c r="I218">
        <f>MAX(0,I214-I213)</f>
        <v/>
      </c>
      <c r="J218">
        <f>MAX(0,J214-J213)</f>
        <v/>
      </c>
      <c r="K218">
        <f>MAX(0,K214-K213)</f>
        <v/>
      </c>
      <c r="L218">
        <f>MAX(0,L214-L213)</f>
        <v/>
      </c>
      <c r="M218">
        <f>MAX(0,M214-M213)</f>
        <v/>
      </c>
      <c r="N218">
        <f>MAX(0,N214-N213)</f>
        <v/>
      </c>
      <c r="O218">
        <f>MAX(0,O214-O213)</f>
        <v/>
      </c>
      <c r="P218">
        <f>MAX(0,P214-P213)</f>
        <v/>
      </c>
      <c r="Q218">
        <f>MAX(0,Q214-Q213)</f>
        <v/>
      </c>
    </row>
    <row r="219">
      <c r="A219" t="inlineStr"/>
      <c r="B219" t="inlineStr"/>
      <c r="C219" t="inlineStr">
        <is>
          <t>DC</t>
        </is>
      </c>
      <c r="D219" t="inlineStr">
        <is>
          <t>Excess</t>
        </is>
      </c>
      <c r="E219" t="inlineStr">
        <is>
          <t>Inv</t>
        </is>
      </c>
      <c r="F219">
        <f>MAX(0,F213-F215)</f>
        <v/>
      </c>
      <c r="G219">
        <f>MAX(0,G213-G215)</f>
        <v/>
      </c>
      <c r="H219">
        <f>MAX(0,H213-H215)</f>
        <v/>
      </c>
      <c r="I219">
        <f>MAX(0,I213-I215)</f>
        <v/>
      </c>
      <c r="J219">
        <f>MAX(0,J213-J215)</f>
        <v/>
      </c>
      <c r="K219">
        <f>MAX(0,K213-K215)</f>
        <v/>
      </c>
      <c r="L219">
        <f>MAX(0,L213-L215)</f>
        <v/>
      </c>
      <c r="M219">
        <f>MAX(0,M213-M215)</f>
        <v/>
      </c>
      <c r="N219">
        <f>MAX(0,N213-N215)</f>
        <v/>
      </c>
      <c r="O219">
        <f>MAX(0,O213-O215)</f>
        <v/>
      </c>
      <c r="P219">
        <f>MAX(0,P213-P215)</f>
        <v/>
      </c>
      <c r="Q219">
        <f>MAX(0,Q213-Q215)</f>
        <v/>
      </c>
    </row>
    <row r="220">
      <c r="A220" t="inlineStr"/>
      <c r="B220" t="inlineStr"/>
      <c r="C220" t="inlineStr">
        <is>
          <t>DC</t>
        </is>
      </c>
      <c r="D220" t="inlineStr">
        <is>
          <t>Out of stock Value($)</t>
        </is>
      </c>
      <c r="E220" t="inlineStr">
        <is>
          <t>Val</t>
        </is>
      </c>
    </row>
    <row r="221">
      <c r="A221" t="inlineStr"/>
      <c r="B221" t="inlineStr"/>
      <c r="C221" t="inlineStr">
        <is>
          <t>DC</t>
        </is>
      </c>
      <c r="D221" t="inlineStr">
        <is>
          <t>Excess and over($)</t>
        </is>
      </c>
      <c r="E221" t="inlineStr">
        <is>
          <t>Val</t>
        </is>
      </c>
    </row>
    <row r="222"/>
    <row r="223">
      <c r="A223" t="inlineStr">
        <is>
          <t>SKU_0003</t>
        </is>
      </c>
      <c r="B223" t="inlineStr">
        <is>
          <t>DC5</t>
        </is>
      </c>
      <c r="C223" t="inlineStr">
        <is>
          <t>DC</t>
        </is>
      </c>
      <c r="D223" t="inlineStr">
        <is>
          <t>Start Inventory</t>
        </is>
      </c>
      <c r="E223" t="inlineStr">
        <is>
          <t>Inv</t>
        </is>
      </c>
      <c r="F223" t="n">
        <v>1339</v>
      </c>
      <c r="G223">
        <f>F230</f>
        <v/>
      </c>
      <c r="H223">
        <f>G230</f>
        <v/>
      </c>
      <c r="I223">
        <f>H230</f>
        <v/>
      </c>
      <c r="J223">
        <f>I230</f>
        <v/>
      </c>
      <c r="K223">
        <f>J230</f>
        <v/>
      </c>
      <c r="L223">
        <f>K230</f>
        <v/>
      </c>
      <c r="M223">
        <f>L230</f>
        <v/>
      </c>
      <c r="N223">
        <f>M230</f>
        <v/>
      </c>
      <c r="O223">
        <f>N230</f>
        <v/>
      </c>
      <c r="P223">
        <f>O230</f>
        <v/>
      </c>
      <c r="Q223">
        <f>P230</f>
        <v/>
      </c>
    </row>
    <row r="224">
      <c r="A224" t="inlineStr"/>
      <c r="B224" t="inlineStr"/>
      <c r="C224" t="inlineStr">
        <is>
          <t>DC</t>
        </is>
      </c>
      <c r="D224" t="inlineStr">
        <is>
          <t>Total Forecast/Order</t>
        </is>
      </c>
      <c r="E224" t="inlineStr">
        <is>
          <t>Demand</t>
        </is>
      </c>
      <c r="F224" t="n">
        <v>59</v>
      </c>
      <c r="G224" t="n">
        <v>99</v>
      </c>
      <c r="H224" t="n">
        <v>81</v>
      </c>
      <c r="I224" t="n">
        <v>84</v>
      </c>
      <c r="J224" t="n">
        <v>78</v>
      </c>
      <c r="K224" t="n">
        <v>90</v>
      </c>
      <c r="L224" t="n">
        <v>108</v>
      </c>
      <c r="M224" t="n">
        <v>79</v>
      </c>
      <c r="N224" t="n">
        <v>45</v>
      </c>
      <c r="O224" t="n">
        <v>75</v>
      </c>
      <c r="P224" t="n">
        <v>96</v>
      </c>
      <c r="Q224" t="n">
        <v>79</v>
      </c>
    </row>
    <row r="225">
      <c r="A225" t="inlineStr"/>
      <c r="B225" t="inlineStr"/>
      <c r="C225" t="inlineStr">
        <is>
          <t>DC</t>
        </is>
      </c>
      <c r="D225" t="inlineStr">
        <is>
          <t>Start Backorder</t>
        </is>
      </c>
      <c r="E225" t="inlineStr">
        <is>
          <t>Demand</t>
        </is>
      </c>
      <c r="F225" t="n">
        <v>0</v>
      </c>
      <c r="G225">
        <f>F229</f>
        <v/>
      </c>
      <c r="H225">
        <f>G229</f>
        <v/>
      </c>
      <c r="I225">
        <f>H229</f>
        <v/>
      </c>
      <c r="J225">
        <f>I229</f>
        <v/>
      </c>
      <c r="K225">
        <f>J229</f>
        <v/>
      </c>
      <c r="L225">
        <f>K229</f>
        <v/>
      </c>
      <c r="M225">
        <f>L229</f>
        <v/>
      </c>
      <c r="N225">
        <f>M229</f>
        <v/>
      </c>
      <c r="O225">
        <f>N229</f>
        <v/>
      </c>
      <c r="P225">
        <f>O229</f>
        <v/>
      </c>
      <c r="Q225">
        <f>P229</f>
        <v/>
      </c>
    </row>
    <row r="226">
      <c r="A226" t="inlineStr"/>
      <c r="B226" t="inlineStr"/>
      <c r="C226" t="inlineStr">
        <is>
          <t>DC</t>
        </is>
      </c>
      <c r="D226" t="inlineStr">
        <is>
          <t>Total Demand</t>
        </is>
      </c>
      <c r="E226" t="inlineStr">
        <is>
          <t>Demand</t>
        </is>
      </c>
      <c r="F226">
        <f>F224+F225</f>
        <v/>
      </c>
      <c r="G226">
        <f>G224+G225</f>
        <v/>
      </c>
      <c r="H226">
        <f>H224+H225</f>
        <v/>
      </c>
      <c r="I226">
        <f>I224+I225</f>
        <v/>
      </c>
      <c r="J226">
        <f>J224+J225</f>
        <v/>
      </c>
      <c r="K226">
        <f>K224+K225</f>
        <v/>
      </c>
      <c r="L226">
        <f>L224+L225</f>
        <v/>
      </c>
      <c r="M226">
        <f>M224+M225</f>
        <v/>
      </c>
      <c r="N226">
        <f>N224+N225</f>
        <v/>
      </c>
      <c r="O226">
        <f>O224+O225</f>
        <v/>
      </c>
      <c r="P226">
        <f>P224+P225</f>
        <v/>
      </c>
      <c r="Q226">
        <f>Q224+Q225</f>
        <v/>
      </c>
    </row>
    <row r="227">
      <c r="A227" t="inlineStr"/>
      <c r="B227" t="inlineStr"/>
      <c r="C227" t="inlineStr">
        <is>
          <t>DC</t>
        </is>
      </c>
      <c r="D227" t="inlineStr">
        <is>
          <t>Dist. Receipt Planned</t>
        </is>
      </c>
      <c r="E227" t="inlineStr">
        <is>
          <t>Supply</t>
        </is>
      </c>
      <c r="F227" t="n">
        <v>0</v>
      </c>
      <c r="G227" t="n">
        <v>0</v>
      </c>
      <c r="H227" t="n">
        <v>0</v>
      </c>
      <c r="I227" t="n">
        <v>199</v>
      </c>
      <c r="J227" t="n">
        <v>408</v>
      </c>
      <c r="K227" t="n">
        <v>268</v>
      </c>
      <c r="L227" t="n">
        <v>605</v>
      </c>
      <c r="M227" t="n">
        <v>0</v>
      </c>
      <c r="N227" t="n">
        <v>694</v>
      </c>
      <c r="O227" t="n">
        <v>0</v>
      </c>
      <c r="P227" t="n">
        <v>0</v>
      </c>
      <c r="Q227" t="n">
        <v>0</v>
      </c>
    </row>
    <row r="228">
      <c r="A228" t="inlineStr"/>
      <c r="B228" t="inlineStr"/>
      <c r="C228" t="inlineStr">
        <is>
          <t>DC</t>
        </is>
      </c>
      <c r="D228" t="inlineStr">
        <is>
          <t>Total Supply</t>
        </is>
      </c>
      <c r="E228" t="inlineStr">
        <is>
          <t>Supply</t>
        </is>
      </c>
      <c r="F228">
        <f>F227</f>
        <v/>
      </c>
      <c r="G228">
        <f>G227</f>
        <v/>
      </c>
      <c r="H228">
        <f>H227</f>
        <v/>
      </c>
      <c r="I228">
        <f>I227</f>
        <v/>
      </c>
      <c r="J228">
        <f>J227</f>
        <v/>
      </c>
      <c r="K228">
        <f>K227</f>
        <v/>
      </c>
      <c r="L228">
        <f>L227</f>
        <v/>
      </c>
      <c r="M228">
        <f>M227</f>
        <v/>
      </c>
      <c r="N228">
        <f>N227</f>
        <v/>
      </c>
      <c r="O228">
        <f>O227</f>
        <v/>
      </c>
      <c r="P228">
        <f>P227</f>
        <v/>
      </c>
      <c r="Q228">
        <f>Q227</f>
        <v/>
      </c>
    </row>
    <row r="229">
      <c r="A229" t="inlineStr"/>
      <c r="B229" t="inlineStr"/>
      <c r="C229" t="inlineStr">
        <is>
          <t>DC</t>
        </is>
      </c>
      <c r="D229" t="inlineStr">
        <is>
          <t>End. Backorder</t>
        </is>
      </c>
      <c r="E229" t="inlineStr">
        <is>
          <t>Demand</t>
        </is>
      </c>
      <c r="F229">
        <f>-MIN(0,F223+F228-F226)</f>
        <v/>
      </c>
      <c r="G229">
        <f>-MIN(0,G223+G228-G226)</f>
        <v/>
      </c>
      <c r="H229">
        <f>-MIN(0,H223+H228-H226)</f>
        <v/>
      </c>
      <c r="I229">
        <f>-MIN(0,I223+I228-I226)</f>
        <v/>
      </c>
      <c r="J229">
        <f>-MIN(0,J223+J228-J226)</f>
        <v/>
      </c>
      <c r="K229">
        <f>-MIN(0,K223+K228-K226)</f>
        <v/>
      </c>
      <c r="L229">
        <f>-MIN(0,L223+L228-L226)</f>
        <v/>
      </c>
      <c r="M229">
        <f>-MIN(0,M223+M228-M226)</f>
        <v/>
      </c>
      <c r="N229">
        <f>-MIN(0,N223+N228-N226)</f>
        <v/>
      </c>
      <c r="O229">
        <f>-MIN(0,O223+O228-O226)</f>
        <v/>
      </c>
      <c r="P229">
        <f>-MIN(0,P223+P228-P226)</f>
        <v/>
      </c>
      <c r="Q229">
        <f>-MIN(0,Q223+Q228-Q226)</f>
        <v/>
      </c>
    </row>
    <row r="230">
      <c r="A230" t="inlineStr"/>
      <c r="B230" t="inlineStr"/>
      <c r="C230" t="inlineStr">
        <is>
          <t>DC</t>
        </is>
      </c>
      <c r="D230" t="inlineStr">
        <is>
          <t>End. Inventory</t>
        </is>
      </c>
      <c r="E230" t="inlineStr">
        <is>
          <t>Inv</t>
        </is>
      </c>
      <c r="F230">
        <f>MAX(F223+F228-F226,0)</f>
        <v/>
      </c>
      <c r="G230">
        <f>MAX(G223+G228-G226,0)</f>
        <v/>
      </c>
      <c r="H230">
        <f>MAX(H223+H228-H226,0)</f>
        <v/>
      </c>
      <c r="I230">
        <f>MAX(I223+I228-I226,0)</f>
        <v/>
      </c>
      <c r="J230">
        <f>MAX(J223+J228-J226,0)</f>
        <v/>
      </c>
      <c r="K230">
        <f>MAX(K223+K228-K226,0)</f>
        <v/>
      </c>
      <c r="L230">
        <f>MAX(L223+L228-L226,0)</f>
        <v/>
      </c>
      <c r="M230">
        <f>MAX(M223+M228-M226,0)</f>
        <v/>
      </c>
      <c r="N230">
        <f>MAX(N223+N228-N226,0)</f>
        <v/>
      </c>
      <c r="O230">
        <f>MAX(O223+O228-O226,0)</f>
        <v/>
      </c>
      <c r="P230">
        <f>MAX(P223+P228-P226,0)</f>
        <v/>
      </c>
      <c r="Q230">
        <f>MAX(Q223+Q228-Q226,0)</f>
        <v/>
      </c>
    </row>
    <row r="231">
      <c r="A231" t="inlineStr"/>
      <c r="B231" t="inlineStr"/>
      <c r="C231" t="inlineStr">
        <is>
          <t>DC</t>
        </is>
      </c>
      <c r="D231" t="inlineStr">
        <is>
          <t>MSTN Thresold</t>
        </is>
      </c>
      <c r="E231" t="inlineStr">
        <is>
          <t>Inv</t>
        </is>
      </c>
      <c r="F231" t="n">
        <v>360</v>
      </c>
      <c r="G231" t="n">
        <v>360</v>
      </c>
      <c r="H231" t="n">
        <v>360</v>
      </c>
      <c r="I231" t="n">
        <v>360</v>
      </c>
      <c r="J231" t="n">
        <v>360</v>
      </c>
      <c r="K231" t="n">
        <v>360</v>
      </c>
      <c r="L231" t="n">
        <v>360</v>
      </c>
      <c r="M231" t="n">
        <v>360</v>
      </c>
      <c r="N231" t="n">
        <v>360</v>
      </c>
      <c r="O231" t="n">
        <v>360</v>
      </c>
      <c r="P231" t="n">
        <v>360</v>
      </c>
      <c r="Q231" t="n">
        <v>360</v>
      </c>
    </row>
    <row r="232">
      <c r="A232" t="inlineStr"/>
      <c r="B232" t="inlineStr"/>
      <c r="C232" t="inlineStr">
        <is>
          <t>DC</t>
        </is>
      </c>
      <c r="D232" t="inlineStr">
        <is>
          <t>ESTN Thresold</t>
        </is>
      </c>
      <c r="E232" t="inlineStr">
        <is>
          <t>Inv</t>
        </is>
      </c>
      <c r="F232" t="n">
        <v>1342</v>
      </c>
      <c r="G232" t="n">
        <v>1342</v>
      </c>
      <c r="H232" t="n">
        <v>1342</v>
      </c>
      <c r="I232" t="n">
        <v>1342</v>
      </c>
      <c r="J232" t="n">
        <v>1342</v>
      </c>
      <c r="K232" t="n">
        <v>1342</v>
      </c>
      <c r="L232" t="n">
        <v>1342</v>
      </c>
      <c r="M232" t="n">
        <v>1342</v>
      </c>
      <c r="N232" t="n">
        <v>1342</v>
      </c>
      <c r="O232" t="n">
        <v>1342</v>
      </c>
      <c r="P232" t="n">
        <v>1342</v>
      </c>
      <c r="Q232" t="n">
        <v>1342</v>
      </c>
    </row>
    <row r="233">
      <c r="A233" t="inlineStr"/>
      <c r="B233" t="inlineStr"/>
      <c r="C233" t="inlineStr">
        <is>
          <t>DC</t>
        </is>
      </c>
      <c r="D233" t="inlineStr">
        <is>
          <t>MSTN%</t>
        </is>
      </c>
      <c r="E233" t="inlineStr"/>
      <c r="F233" s="2">
        <f>IFERROR(MIN(F230,F231)/F231,1)</f>
        <v/>
      </c>
      <c r="G233" s="2">
        <f>IFERROR(MIN(G230,G231)/G231,1)</f>
        <v/>
      </c>
      <c r="H233" s="2">
        <f>IFERROR(MIN(H230,H231)/H231,1)</f>
        <v/>
      </c>
      <c r="I233" s="2">
        <f>IFERROR(MIN(I230,I231)/I231,1)</f>
        <v/>
      </c>
      <c r="J233" s="2">
        <f>IFERROR(MIN(J230,J231)/J231,1)</f>
        <v/>
      </c>
      <c r="K233" s="2">
        <f>IFERROR(MIN(K230,K231)/K231,1)</f>
        <v/>
      </c>
      <c r="L233" s="2">
        <f>IFERROR(MIN(L230,L231)/L231,1)</f>
        <v/>
      </c>
      <c r="M233" s="2">
        <f>IFERROR(MIN(M230,M231)/M231,1)</f>
        <v/>
      </c>
      <c r="N233" s="2">
        <f>IFERROR(MIN(N230,N231)/N231,1)</f>
        <v/>
      </c>
      <c r="O233" s="2">
        <f>IFERROR(MIN(O230,O231)/O231,1)</f>
        <v/>
      </c>
      <c r="P233" s="2">
        <f>IFERROR(MIN(P230,P231)/P231,1)</f>
        <v/>
      </c>
      <c r="Q233" s="2">
        <f>IFERROR(MIN(Q230,Q231)/Q231,1)</f>
        <v/>
      </c>
    </row>
    <row r="234">
      <c r="A234" t="inlineStr"/>
      <c r="B234" t="inlineStr"/>
      <c r="C234" t="inlineStr">
        <is>
          <t>DC</t>
        </is>
      </c>
      <c r="D234" t="inlineStr">
        <is>
          <t>ESTN%</t>
        </is>
      </c>
      <c r="E234" t="inlineStr"/>
      <c r="F234" s="2">
        <f>MAX(F230-F232,0)/F232</f>
        <v/>
      </c>
      <c r="G234" s="2">
        <f>MAX(G230-G232,0)/G232</f>
        <v/>
      </c>
      <c r="H234" s="2">
        <f>MAX(H230-H232,0)/H232</f>
        <v/>
      </c>
      <c r="I234" s="2">
        <f>MAX(I230-I232,0)/I232</f>
        <v/>
      </c>
      <c r="J234" s="2">
        <f>MAX(J230-J232,0)/J232</f>
        <v/>
      </c>
      <c r="K234" s="2">
        <f>MAX(K230-K232,0)/K232</f>
        <v/>
      </c>
      <c r="L234" s="2">
        <f>MAX(L230-L232,0)/L232</f>
        <v/>
      </c>
      <c r="M234" s="2">
        <f>MAX(M230-M232,0)/M232</f>
        <v/>
      </c>
      <c r="N234" s="2">
        <f>MAX(N230-N232,0)/N232</f>
        <v/>
      </c>
      <c r="O234" s="2">
        <f>MAX(O230-O232,0)/O232</f>
        <v/>
      </c>
      <c r="P234" s="2">
        <f>MAX(P230-P232,0)/P232</f>
        <v/>
      </c>
      <c r="Q234" s="2">
        <f>MAX(Q230-Q232,0)/Q232</f>
        <v/>
      </c>
    </row>
    <row r="235">
      <c r="A235" t="inlineStr"/>
      <c r="B235" t="inlineStr"/>
      <c r="C235" t="inlineStr">
        <is>
          <t>DC</t>
        </is>
      </c>
      <c r="D235" t="inlineStr">
        <is>
          <t>Shortage</t>
        </is>
      </c>
      <c r="E235" t="inlineStr">
        <is>
          <t>Inv</t>
        </is>
      </c>
      <c r="F235">
        <f>MAX(0,F231-F230)</f>
        <v/>
      </c>
      <c r="G235">
        <f>MAX(0,G231-G230)</f>
        <v/>
      </c>
      <c r="H235">
        <f>MAX(0,H231-H230)</f>
        <v/>
      </c>
      <c r="I235">
        <f>MAX(0,I231-I230)</f>
        <v/>
      </c>
      <c r="J235">
        <f>MAX(0,J231-J230)</f>
        <v/>
      </c>
      <c r="K235">
        <f>MAX(0,K231-K230)</f>
        <v/>
      </c>
      <c r="L235">
        <f>MAX(0,L231-L230)</f>
        <v/>
      </c>
      <c r="M235">
        <f>MAX(0,M231-M230)</f>
        <v/>
      </c>
      <c r="N235">
        <f>MAX(0,N231-N230)</f>
        <v/>
      </c>
      <c r="O235">
        <f>MAX(0,O231-O230)</f>
        <v/>
      </c>
      <c r="P235">
        <f>MAX(0,P231-P230)</f>
        <v/>
      </c>
      <c r="Q235">
        <f>MAX(0,Q231-Q230)</f>
        <v/>
      </c>
    </row>
    <row r="236">
      <c r="A236" t="inlineStr"/>
      <c r="B236" t="inlineStr"/>
      <c r="C236" t="inlineStr">
        <is>
          <t>DC</t>
        </is>
      </c>
      <c r="D236" t="inlineStr">
        <is>
          <t>Excess</t>
        </is>
      </c>
      <c r="E236" t="inlineStr">
        <is>
          <t>Inv</t>
        </is>
      </c>
      <c r="F236">
        <f>MAX(0,F230-F232)</f>
        <v/>
      </c>
      <c r="G236">
        <f>MAX(0,G230-G232)</f>
        <v/>
      </c>
      <c r="H236">
        <f>MAX(0,H230-H232)</f>
        <v/>
      </c>
      <c r="I236">
        <f>MAX(0,I230-I232)</f>
        <v/>
      </c>
      <c r="J236">
        <f>MAX(0,J230-J232)</f>
        <v/>
      </c>
      <c r="K236">
        <f>MAX(0,K230-K232)</f>
        <v/>
      </c>
      <c r="L236">
        <f>MAX(0,L230-L232)</f>
        <v/>
      </c>
      <c r="M236">
        <f>MAX(0,M230-M232)</f>
        <v/>
      </c>
      <c r="N236">
        <f>MAX(0,N230-N232)</f>
        <v/>
      </c>
      <c r="O236">
        <f>MAX(0,O230-O232)</f>
        <v/>
      </c>
      <c r="P236">
        <f>MAX(0,P230-P232)</f>
        <v/>
      </c>
      <c r="Q236">
        <f>MAX(0,Q230-Q232)</f>
        <v/>
      </c>
    </row>
    <row r="237">
      <c r="A237" t="inlineStr"/>
      <c r="B237" t="inlineStr"/>
      <c r="C237" t="inlineStr">
        <is>
          <t>DC</t>
        </is>
      </c>
      <c r="D237" t="inlineStr">
        <is>
          <t>Out of stock Value($)</t>
        </is>
      </c>
      <c r="E237" t="inlineStr">
        <is>
          <t>Val</t>
        </is>
      </c>
    </row>
    <row r="238">
      <c r="A238" t="inlineStr"/>
      <c r="B238" t="inlineStr"/>
      <c r="C238" t="inlineStr">
        <is>
          <t>DC</t>
        </is>
      </c>
      <c r="D238" t="inlineStr">
        <is>
          <t>Excess and over($)</t>
        </is>
      </c>
      <c r="E238" t="inlineStr">
        <is>
          <t>Val</t>
        </is>
      </c>
    </row>
    <row r="239"/>
    <row r="240">
      <c r="A240" t="inlineStr">
        <is>
          <t>SKU_0003</t>
        </is>
      </c>
      <c r="B240" t="inlineStr">
        <is>
          <t>F1</t>
        </is>
      </c>
      <c r="C240" t="inlineStr">
        <is>
          <t>DC</t>
        </is>
      </c>
      <c r="D240" t="inlineStr">
        <is>
          <t>Start Inventory</t>
        </is>
      </c>
      <c r="E240" t="inlineStr">
        <is>
          <t>Inv</t>
        </is>
      </c>
      <c r="F240" t="n">
        <v>2773</v>
      </c>
      <c r="G240">
        <f>F247</f>
        <v/>
      </c>
      <c r="H240">
        <f>G247</f>
        <v/>
      </c>
      <c r="I240">
        <f>H247</f>
        <v/>
      </c>
      <c r="J240">
        <f>I247</f>
        <v/>
      </c>
      <c r="K240">
        <f>J247</f>
        <v/>
      </c>
      <c r="L240">
        <f>K247</f>
        <v/>
      </c>
      <c r="M240">
        <f>L247</f>
        <v/>
      </c>
      <c r="N240">
        <f>M247</f>
        <v/>
      </c>
      <c r="O240">
        <f>N247</f>
        <v/>
      </c>
      <c r="P240">
        <f>O247</f>
        <v/>
      </c>
      <c r="Q240">
        <f>P247</f>
        <v/>
      </c>
    </row>
    <row r="241">
      <c r="A241" t="inlineStr"/>
      <c r="B241" t="inlineStr"/>
      <c r="C241" t="inlineStr">
        <is>
          <t>DC</t>
        </is>
      </c>
      <c r="D241" t="inlineStr">
        <is>
          <t>Total Forecast/Order</t>
        </is>
      </c>
      <c r="E241" t="inlineStr">
        <is>
          <t>Demand</t>
        </is>
      </c>
      <c r="F241" t="n">
        <v>193</v>
      </c>
      <c r="G241" t="n">
        <v>685</v>
      </c>
      <c r="H241" t="n">
        <v>199</v>
      </c>
      <c r="I241" t="n">
        <v>691</v>
      </c>
      <c r="J241" t="n">
        <v>606</v>
      </c>
      <c r="K241" t="n">
        <v>1146</v>
      </c>
      <c r="L241" t="n">
        <v>326</v>
      </c>
      <c r="M241" t="n">
        <v>1278</v>
      </c>
      <c r="N241" t="n">
        <v>148</v>
      </c>
      <c r="O241" t="n">
        <v>469</v>
      </c>
      <c r="P241" t="n">
        <v>0</v>
      </c>
      <c r="Q241" t="n">
        <v>0</v>
      </c>
    </row>
    <row r="242">
      <c r="A242" t="inlineStr"/>
      <c r="B242" t="inlineStr"/>
      <c r="C242" t="inlineStr">
        <is>
          <t>DC</t>
        </is>
      </c>
      <c r="D242" t="inlineStr">
        <is>
          <t>Start Backorder</t>
        </is>
      </c>
      <c r="E242" t="inlineStr">
        <is>
          <t>Demand</t>
        </is>
      </c>
      <c r="F242" t="n">
        <v>0</v>
      </c>
      <c r="G242">
        <f>F246</f>
        <v/>
      </c>
      <c r="H242">
        <f>G246</f>
        <v/>
      </c>
      <c r="I242">
        <f>H246</f>
        <v/>
      </c>
      <c r="J242">
        <f>I246</f>
        <v/>
      </c>
      <c r="K242">
        <f>J246</f>
        <v/>
      </c>
      <c r="L242">
        <f>K246</f>
        <v/>
      </c>
      <c r="M242">
        <f>L246</f>
        <v/>
      </c>
      <c r="N242">
        <f>M246</f>
        <v/>
      </c>
      <c r="O242">
        <f>N246</f>
        <v/>
      </c>
      <c r="P242">
        <f>O246</f>
        <v/>
      </c>
      <c r="Q242">
        <f>P246</f>
        <v/>
      </c>
    </row>
    <row r="243">
      <c r="A243" t="inlineStr"/>
      <c r="B243" t="inlineStr"/>
      <c r="C243" t="inlineStr">
        <is>
          <t>DC</t>
        </is>
      </c>
      <c r="D243" t="inlineStr">
        <is>
          <t>Total Demand</t>
        </is>
      </c>
      <c r="E243" t="inlineStr">
        <is>
          <t>Demand</t>
        </is>
      </c>
      <c r="F243">
        <f>F241+F242</f>
        <v/>
      </c>
      <c r="G243">
        <f>G241+G242</f>
        <v/>
      </c>
      <c r="H243">
        <f>H241+H242</f>
        <v/>
      </c>
      <c r="I243">
        <f>I241+I242</f>
        <v/>
      </c>
      <c r="J243">
        <f>J241+J242</f>
        <v/>
      </c>
      <c r="K243">
        <f>K241+K242</f>
        <v/>
      </c>
      <c r="L243">
        <f>L241+L242</f>
        <v/>
      </c>
      <c r="M243">
        <f>M241+M242</f>
        <v/>
      </c>
      <c r="N243">
        <f>N241+N242</f>
        <v/>
      </c>
      <c r="O243">
        <f>O241+O242</f>
        <v/>
      </c>
      <c r="P243">
        <f>P241+P242</f>
        <v/>
      </c>
      <c r="Q243">
        <f>Q241+Q242</f>
        <v/>
      </c>
    </row>
    <row r="244">
      <c r="A244" t="inlineStr"/>
      <c r="B244" t="inlineStr"/>
      <c r="C244" t="inlineStr">
        <is>
          <t>DC</t>
        </is>
      </c>
      <c r="D244" t="inlineStr">
        <is>
          <t>Dist. Receipt Planned</t>
        </is>
      </c>
      <c r="E244" t="inlineStr">
        <is>
          <t>Supply</t>
        </is>
      </c>
      <c r="F244" t="n">
        <v>0</v>
      </c>
      <c r="G244" t="n">
        <v>0</v>
      </c>
      <c r="H244" t="n">
        <v>0</v>
      </c>
      <c r="I244" t="n">
        <v>0</v>
      </c>
      <c r="J244" t="n">
        <v>1130</v>
      </c>
      <c r="K244" t="n">
        <v>0</v>
      </c>
      <c r="L244" t="n">
        <v>0</v>
      </c>
      <c r="M244" t="n">
        <v>0</v>
      </c>
      <c r="N244" t="n">
        <v>2958</v>
      </c>
      <c r="O244" t="n">
        <v>990</v>
      </c>
      <c r="P244" t="n">
        <v>2230</v>
      </c>
      <c r="Q244" t="n">
        <v>1098</v>
      </c>
    </row>
    <row r="245">
      <c r="A245" t="inlineStr"/>
      <c r="B245" t="inlineStr"/>
      <c r="C245" t="inlineStr">
        <is>
          <t>DC</t>
        </is>
      </c>
      <c r="D245" t="inlineStr">
        <is>
          <t>Total Supply</t>
        </is>
      </c>
      <c r="E245" t="inlineStr">
        <is>
          <t>Supply</t>
        </is>
      </c>
      <c r="F245">
        <f>F244</f>
        <v/>
      </c>
      <c r="G245">
        <f>G244</f>
        <v/>
      </c>
      <c r="H245">
        <f>H244</f>
        <v/>
      </c>
      <c r="I245">
        <f>I244</f>
        <v/>
      </c>
      <c r="J245">
        <f>J244</f>
        <v/>
      </c>
      <c r="K245">
        <f>K244</f>
        <v/>
      </c>
      <c r="L245">
        <f>L244</f>
        <v/>
      </c>
      <c r="M245">
        <f>M244</f>
        <v/>
      </c>
      <c r="N245">
        <f>N244</f>
        <v/>
      </c>
      <c r="O245">
        <f>O244</f>
        <v/>
      </c>
      <c r="P245">
        <f>P244</f>
        <v/>
      </c>
      <c r="Q245">
        <f>Q244</f>
        <v/>
      </c>
    </row>
    <row r="246">
      <c r="A246" t="inlineStr"/>
      <c r="B246" t="inlineStr"/>
      <c r="C246" t="inlineStr">
        <is>
          <t>DC</t>
        </is>
      </c>
      <c r="D246" t="inlineStr">
        <is>
          <t>End. Backorder</t>
        </is>
      </c>
      <c r="E246" t="inlineStr">
        <is>
          <t>Demand</t>
        </is>
      </c>
      <c r="F246">
        <f>-MIN(0,F240+F245-F243)</f>
        <v/>
      </c>
      <c r="G246">
        <f>-MIN(0,G240+G245-G243)</f>
        <v/>
      </c>
      <c r="H246">
        <f>-MIN(0,H240+H245-H243)</f>
        <v/>
      </c>
      <c r="I246">
        <f>-MIN(0,I240+I245-I243)</f>
        <v/>
      </c>
      <c r="J246">
        <f>-MIN(0,J240+J245-J243)</f>
        <v/>
      </c>
      <c r="K246">
        <f>-MIN(0,K240+K245-K243)</f>
        <v/>
      </c>
      <c r="L246">
        <f>-MIN(0,L240+L245-L243)</f>
        <v/>
      </c>
      <c r="M246">
        <f>-MIN(0,M240+M245-M243)</f>
        <v/>
      </c>
      <c r="N246">
        <f>-MIN(0,N240+N245-N243)</f>
        <v/>
      </c>
      <c r="O246">
        <f>-MIN(0,O240+O245-O243)</f>
        <v/>
      </c>
      <c r="P246">
        <f>-MIN(0,P240+P245-P243)</f>
        <v/>
      </c>
      <c r="Q246">
        <f>-MIN(0,Q240+Q245-Q243)</f>
        <v/>
      </c>
    </row>
    <row r="247">
      <c r="A247" t="inlineStr"/>
      <c r="B247" t="inlineStr"/>
      <c r="C247" t="inlineStr">
        <is>
          <t>DC</t>
        </is>
      </c>
      <c r="D247" t="inlineStr">
        <is>
          <t>End. Inventory</t>
        </is>
      </c>
      <c r="E247" t="inlineStr">
        <is>
          <t>Inv</t>
        </is>
      </c>
      <c r="F247">
        <f>MAX(F240+F245-F243,0)</f>
        <v/>
      </c>
      <c r="G247">
        <f>MAX(G240+G245-G243,0)</f>
        <v/>
      </c>
      <c r="H247">
        <f>MAX(H240+H245-H243,0)</f>
        <v/>
      </c>
      <c r="I247">
        <f>MAX(I240+I245-I243,0)</f>
        <v/>
      </c>
      <c r="J247">
        <f>MAX(J240+J245-J243,0)</f>
        <v/>
      </c>
      <c r="K247">
        <f>MAX(K240+K245-K243,0)</f>
        <v/>
      </c>
      <c r="L247">
        <f>MAX(L240+L245-L243,0)</f>
        <v/>
      </c>
      <c r="M247">
        <f>MAX(M240+M245-M243,0)</f>
        <v/>
      </c>
      <c r="N247">
        <f>MAX(N240+N245-N243,0)</f>
        <v/>
      </c>
      <c r="O247">
        <f>MAX(O240+O245-O243,0)</f>
        <v/>
      </c>
      <c r="P247">
        <f>MAX(P240+P245-P243,0)</f>
        <v/>
      </c>
      <c r="Q247">
        <f>MAX(Q240+Q245-Q243,0)</f>
        <v/>
      </c>
    </row>
    <row r="248">
      <c r="A248" t="inlineStr"/>
      <c r="B248" t="inlineStr"/>
      <c r="C248" t="inlineStr">
        <is>
          <t>DC</t>
        </is>
      </c>
      <c r="D248" t="inlineStr">
        <is>
          <t>MSTN Thresold</t>
        </is>
      </c>
      <c r="E248" t="inlineStr">
        <is>
          <t>Inv</t>
        </is>
      </c>
      <c r="F248" t="n">
        <v>1424</v>
      </c>
      <c r="G248" t="n">
        <v>1424</v>
      </c>
      <c r="H248" t="n">
        <v>1424</v>
      </c>
      <c r="I248" t="n">
        <v>1424</v>
      </c>
      <c r="J248" t="n">
        <v>1424</v>
      </c>
      <c r="K248" t="n">
        <v>1424</v>
      </c>
      <c r="L248" t="n">
        <v>1424</v>
      </c>
      <c r="M248" t="n">
        <v>1424</v>
      </c>
      <c r="N248" t="n">
        <v>1424</v>
      </c>
      <c r="O248" t="n">
        <v>1424</v>
      </c>
      <c r="P248" t="n">
        <v>1424</v>
      </c>
      <c r="Q248" t="n">
        <v>1424</v>
      </c>
    </row>
    <row r="249">
      <c r="A249" t="inlineStr"/>
      <c r="B249" t="inlineStr"/>
      <c r="C249" t="inlineStr">
        <is>
          <t>DC</t>
        </is>
      </c>
      <c r="D249" t="inlineStr">
        <is>
          <t>ESTN Thresold</t>
        </is>
      </c>
      <c r="E249" t="inlineStr">
        <is>
          <t>Inv</t>
        </is>
      </c>
      <c r="F249" t="n">
        <v>4700</v>
      </c>
      <c r="G249" t="n">
        <v>4700</v>
      </c>
      <c r="H249" t="n">
        <v>4700</v>
      </c>
      <c r="I249" t="n">
        <v>4700</v>
      </c>
      <c r="J249" t="n">
        <v>4700</v>
      </c>
      <c r="K249" t="n">
        <v>4700</v>
      </c>
      <c r="L249" t="n">
        <v>4700</v>
      </c>
      <c r="M249" t="n">
        <v>4700</v>
      </c>
      <c r="N249" t="n">
        <v>4700</v>
      </c>
      <c r="O249" t="n">
        <v>4700</v>
      </c>
      <c r="P249" t="n">
        <v>4700</v>
      </c>
      <c r="Q249" t="n">
        <v>4700</v>
      </c>
    </row>
    <row r="250">
      <c r="A250" t="inlineStr"/>
      <c r="B250" t="inlineStr"/>
      <c r="C250" t="inlineStr">
        <is>
          <t>DC</t>
        </is>
      </c>
      <c r="D250" t="inlineStr">
        <is>
          <t>MSTN%</t>
        </is>
      </c>
      <c r="E250" t="inlineStr"/>
      <c r="F250" s="2">
        <f>IFERROR(MIN(F247,F248)/F248,1)</f>
        <v/>
      </c>
      <c r="G250" s="2">
        <f>IFERROR(MIN(G247,G248)/G248,1)</f>
        <v/>
      </c>
      <c r="H250" s="2">
        <f>IFERROR(MIN(H247,H248)/H248,1)</f>
        <v/>
      </c>
      <c r="I250" s="2">
        <f>IFERROR(MIN(I247,I248)/I248,1)</f>
        <v/>
      </c>
      <c r="J250" s="2">
        <f>IFERROR(MIN(J247,J248)/J248,1)</f>
        <v/>
      </c>
      <c r="K250" s="2">
        <f>IFERROR(MIN(K247,K248)/K248,1)</f>
        <v/>
      </c>
      <c r="L250" s="2">
        <f>IFERROR(MIN(L247,L248)/L248,1)</f>
        <v/>
      </c>
      <c r="M250" s="2">
        <f>IFERROR(MIN(M247,M248)/M248,1)</f>
        <v/>
      </c>
      <c r="N250" s="2">
        <f>IFERROR(MIN(N247,N248)/N248,1)</f>
        <v/>
      </c>
      <c r="O250" s="2">
        <f>IFERROR(MIN(O247,O248)/O248,1)</f>
        <v/>
      </c>
      <c r="P250" s="2">
        <f>IFERROR(MIN(P247,P248)/P248,1)</f>
        <v/>
      </c>
      <c r="Q250" s="2">
        <f>IFERROR(MIN(Q247,Q248)/Q248,1)</f>
        <v/>
      </c>
    </row>
    <row r="251">
      <c r="A251" t="inlineStr"/>
      <c r="B251" t="inlineStr"/>
      <c r="C251" t="inlineStr">
        <is>
          <t>DC</t>
        </is>
      </c>
      <c r="D251" t="inlineStr">
        <is>
          <t>ESTN%</t>
        </is>
      </c>
      <c r="E251" t="inlineStr"/>
      <c r="F251" s="2">
        <f>MAX(F247-F249,0)/F249</f>
        <v/>
      </c>
      <c r="G251" s="2">
        <f>MAX(G247-G249,0)/G249</f>
        <v/>
      </c>
      <c r="H251" s="2">
        <f>MAX(H247-H249,0)/H249</f>
        <v/>
      </c>
      <c r="I251" s="2">
        <f>MAX(I247-I249,0)/I249</f>
        <v/>
      </c>
      <c r="J251" s="2">
        <f>MAX(J247-J249,0)/J249</f>
        <v/>
      </c>
      <c r="K251" s="2">
        <f>MAX(K247-K249,0)/K249</f>
        <v/>
      </c>
      <c r="L251" s="2">
        <f>MAX(L247-L249,0)/L249</f>
        <v/>
      </c>
      <c r="M251" s="2">
        <f>MAX(M247-M249,0)/M249</f>
        <v/>
      </c>
      <c r="N251" s="2">
        <f>MAX(N247-N249,0)/N249</f>
        <v/>
      </c>
      <c r="O251" s="2">
        <f>MAX(O247-O249,0)/O249</f>
        <v/>
      </c>
      <c r="P251" s="2">
        <f>MAX(P247-P249,0)/P249</f>
        <v/>
      </c>
      <c r="Q251" s="2">
        <f>MAX(Q247-Q249,0)/Q249</f>
        <v/>
      </c>
    </row>
    <row r="252">
      <c r="A252" t="inlineStr"/>
      <c r="B252" t="inlineStr"/>
      <c r="C252" t="inlineStr">
        <is>
          <t>DC</t>
        </is>
      </c>
      <c r="D252" t="inlineStr">
        <is>
          <t>Shortage</t>
        </is>
      </c>
      <c r="E252" t="inlineStr">
        <is>
          <t>Inv</t>
        </is>
      </c>
      <c r="F252">
        <f>MAX(0,F248-F247)</f>
        <v/>
      </c>
      <c r="G252">
        <f>MAX(0,G248-G247)</f>
        <v/>
      </c>
      <c r="H252">
        <f>MAX(0,H248-H247)</f>
        <v/>
      </c>
      <c r="I252">
        <f>MAX(0,I248-I247)</f>
        <v/>
      </c>
      <c r="J252">
        <f>MAX(0,J248-J247)</f>
        <v/>
      </c>
      <c r="K252">
        <f>MAX(0,K248-K247)</f>
        <v/>
      </c>
      <c r="L252">
        <f>MAX(0,L248-L247)</f>
        <v/>
      </c>
      <c r="M252">
        <f>MAX(0,M248-M247)</f>
        <v/>
      </c>
      <c r="N252">
        <f>MAX(0,N248-N247)</f>
        <v/>
      </c>
      <c r="O252">
        <f>MAX(0,O248-O247)</f>
        <v/>
      </c>
      <c r="P252">
        <f>MAX(0,P248-P247)</f>
        <v/>
      </c>
      <c r="Q252">
        <f>MAX(0,Q248-Q247)</f>
        <v/>
      </c>
    </row>
    <row r="253">
      <c r="A253" t="inlineStr"/>
      <c r="B253" t="inlineStr"/>
      <c r="C253" t="inlineStr">
        <is>
          <t>DC</t>
        </is>
      </c>
      <c r="D253" t="inlineStr">
        <is>
          <t>Excess</t>
        </is>
      </c>
      <c r="E253" t="inlineStr">
        <is>
          <t>Inv</t>
        </is>
      </c>
      <c r="F253">
        <f>MAX(0,F247-F249)</f>
        <v/>
      </c>
      <c r="G253">
        <f>MAX(0,G247-G249)</f>
        <v/>
      </c>
      <c r="H253">
        <f>MAX(0,H247-H249)</f>
        <v/>
      </c>
      <c r="I253">
        <f>MAX(0,I247-I249)</f>
        <v/>
      </c>
      <c r="J253">
        <f>MAX(0,J247-J249)</f>
        <v/>
      </c>
      <c r="K253">
        <f>MAX(0,K247-K249)</f>
        <v/>
      </c>
      <c r="L253">
        <f>MAX(0,L247-L249)</f>
        <v/>
      </c>
      <c r="M253">
        <f>MAX(0,M247-M249)</f>
        <v/>
      </c>
      <c r="N253">
        <f>MAX(0,N247-N249)</f>
        <v/>
      </c>
      <c r="O253">
        <f>MAX(0,O247-O249)</f>
        <v/>
      </c>
      <c r="P253">
        <f>MAX(0,P247-P249)</f>
        <v/>
      </c>
      <c r="Q253">
        <f>MAX(0,Q247-Q249)</f>
        <v/>
      </c>
    </row>
    <row r="254">
      <c r="A254" t="inlineStr"/>
      <c r="B254" t="inlineStr"/>
      <c r="C254" t="inlineStr">
        <is>
          <t>DC</t>
        </is>
      </c>
      <c r="D254" t="inlineStr">
        <is>
          <t>Out of stock Value($)</t>
        </is>
      </c>
      <c r="E254" t="inlineStr">
        <is>
          <t>Val</t>
        </is>
      </c>
    </row>
    <row r="255">
      <c r="A255" t="inlineStr"/>
      <c r="B255" t="inlineStr"/>
      <c r="C255" t="inlineStr">
        <is>
          <t>DC</t>
        </is>
      </c>
      <c r="D255" t="inlineStr">
        <is>
          <t>Excess and over($)</t>
        </is>
      </c>
      <c r="E255" t="inlineStr">
        <is>
          <t>Val</t>
        </is>
      </c>
    </row>
    <row r="256"/>
    <row r="257">
      <c r="A257" t="inlineStr">
        <is>
          <t>SKU_0004</t>
        </is>
      </c>
      <c r="B257" t="inlineStr">
        <is>
          <t>DC1</t>
        </is>
      </c>
      <c r="C257" t="inlineStr">
        <is>
          <t>DC</t>
        </is>
      </c>
      <c r="D257" t="inlineStr">
        <is>
          <t>Start Inventory</t>
        </is>
      </c>
      <c r="E257" t="inlineStr">
        <is>
          <t>Inv</t>
        </is>
      </c>
      <c r="F257" t="n">
        <v>411</v>
      </c>
      <c r="G257">
        <f>F264</f>
        <v/>
      </c>
      <c r="H257">
        <f>G264</f>
        <v/>
      </c>
      <c r="I257">
        <f>H264</f>
        <v/>
      </c>
      <c r="J257">
        <f>I264</f>
        <v/>
      </c>
      <c r="K257">
        <f>J264</f>
        <v/>
      </c>
      <c r="L257">
        <f>K264</f>
        <v/>
      </c>
      <c r="M257">
        <f>L264</f>
        <v/>
      </c>
      <c r="N257">
        <f>M264</f>
        <v/>
      </c>
      <c r="O257">
        <f>N264</f>
        <v/>
      </c>
      <c r="P257">
        <f>O264</f>
        <v/>
      </c>
      <c r="Q257">
        <f>P264</f>
        <v/>
      </c>
    </row>
    <row r="258">
      <c r="A258" t="inlineStr"/>
      <c r="B258" t="inlineStr"/>
      <c r="C258" t="inlineStr">
        <is>
          <t>DC</t>
        </is>
      </c>
      <c r="D258" t="inlineStr">
        <is>
          <t>Total Forecast/Order</t>
        </is>
      </c>
      <c r="E258" t="inlineStr">
        <is>
          <t>Demand</t>
        </is>
      </c>
      <c r="F258" t="n">
        <v>34</v>
      </c>
      <c r="G258" t="n">
        <v>70</v>
      </c>
      <c r="H258" t="n">
        <v>29</v>
      </c>
      <c r="I258" t="n">
        <v>56</v>
      </c>
      <c r="J258" t="n">
        <v>76</v>
      </c>
      <c r="K258" t="n">
        <v>66</v>
      </c>
      <c r="L258" t="n">
        <v>71</v>
      </c>
      <c r="M258" t="n">
        <v>43</v>
      </c>
      <c r="N258" t="n">
        <v>50</v>
      </c>
      <c r="O258" t="n">
        <v>64</v>
      </c>
      <c r="P258" t="n">
        <v>54</v>
      </c>
      <c r="Q258" t="n">
        <v>77</v>
      </c>
    </row>
    <row r="259">
      <c r="A259" t="inlineStr"/>
      <c r="B259" t="inlineStr"/>
      <c r="C259" t="inlineStr">
        <is>
          <t>DC</t>
        </is>
      </c>
      <c r="D259" t="inlineStr">
        <is>
          <t>Start Backorder</t>
        </is>
      </c>
      <c r="E259" t="inlineStr">
        <is>
          <t>Demand</t>
        </is>
      </c>
      <c r="F259" t="n">
        <v>0</v>
      </c>
      <c r="G259">
        <f>F263</f>
        <v/>
      </c>
      <c r="H259">
        <f>G263</f>
        <v/>
      </c>
      <c r="I259">
        <f>H263</f>
        <v/>
      </c>
      <c r="J259">
        <f>I263</f>
        <v/>
      </c>
      <c r="K259">
        <f>J263</f>
        <v/>
      </c>
      <c r="L259">
        <f>K263</f>
        <v/>
      </c>
      <c r="M259">
        <f>L263</f>
        <v/>
      </c>
      <c r="N259">
        <f>M263</f>
        <v/>
      </c>
      <c r="O259">
        <f>N263</f>
        <v/>
      </c>
      <c r="P259">
        <f>O263</f>
        <v/>
      </c>
      <c r="Q259">
        <f>P263</f>
        <v/>
      </c>
    </row>
    <row r="260">
      <c r="A260" t="inlineStr"/>
      <c r="B260" t="inlineStr"/>
      <c r="C260" t="inlineStr">
        <is>
          <t>DC</t>
        </is>
      </c>
      <c r="D260" t="inlineStr">
        <is>
          <t>Total Demand</t>
        </is>
      </c>
      <c r="E260" t="inlineStr">
        <is>
          <t>Demand</t>
        </is>
      </c>
      <c r="F260">
        <f>F258+F259</f>
        <v/>
      </c>
      <c r="G260">
        <f>G258+G259</f>
        <v/>
      </c>
      <c r="H260">
        <f>H258+H259</f>
        <v/>
      </c>
      <c r="I260">
        <f>I258+I259</f>
        <v/>
      </c>
      <c r="J260">
        <f>J258+J259</f>
        <v/>
      </c>
      <c r="K260">
        <f>K258+K259</f>
        <v/>
      </c>
      <c r="L260">
        <f>L258+L259</f>
        <v/>
      </c>
      <c r="M260">
        <f>M258+M259</f>
        <v/>
      </c>
      <c r="N260">
        <f>N258+N259</f>
        <v/>
      </c>
      <c r="O260">
        <f>O258+O259</f>
        <v/>
      </c>
      <c r="P260">
        <f>P258+P259</f>
        <v/>
      </c>
      <c r="Q260">
        <f>Q258+Q259</f>
        <v/>
      </c>
    </row>
    <row r="261">
      <c r="A261" t="inlineStr"/>
      <c r="B261" t="inlineStr"/>
      <c r="C261" t="inlineStr">
        <is>
          <t>DC</t>
        </is>
      </c>
      <c r="D261" t="inlineStr">
        <is>
          <t>Dist. Receipt Planned</t>
        </is>
      </c>
      <c r="E261" t="inlineStr">
        <is>
          <t>Supply</t>
        </is>
      </c>
      <c r="F261" t="n">
        <v>0</v>
      </c>
      <c r="G261" t="n">
        <v>0</v>
      </c>
      <c r="H261" t="n">
        <v>0</v>
      </c>
      <c r="I261" t="n">
        <v>0</v>
      </c>
      <c r="J261" t="n">
        <v>0</v>
      </c>
      <c r="K261" t="n">
        <v>131</v>
      </c>
      <c r="L261" t="n">
        <v>0</v>
      </c>
      <c r="M261" t="n">
        <v>426</v>
      </c>
      <c r="N261" t="n">
        <v>0</v>
      </c>
      <c r="O261" t="n">
        <v>152</v>
      </c>
      <c r="P261" t="n">
        <v>99</v>
      </c>
      <c r="Q261" t="n">
        <v>170</v>
      </c>
    </row>
    <row r="262">
      <c r="A262" t="inlineStr"/>
      <c r="B262" t="inlineStr"/>
      <c r="C262" t="inlineStr">
        <is>
          <t>DC</t>
        </is>
      </c>
      <c r="D262" t="inlineStr">
        <is>
          <t>Total Supply</t>
        </is>
      </c>
      <c r="E262" t="inlineStr">
        <is>
          <t>Supply</t>
        </is>
      </c>
      <c r="F262">
        <f>F261</f>
        <v/>
      </c>
      <c r="G262">
        <f>G261</f>
        <v/>
      </c>
      <c r="H262">
        <f>H261</f>
        <v/>
      </c>
      <c r="I262">
        <f>I261</f>
        <v/>
      </c>
      <c r="J262">
        <f>J261</f>
        <v/>
      </c>
      <c r="K262">
        <f>K261</f>
        <v/>
      </c>
      <c r="L262">
        <f>L261</f>
        <v/>
      </c>
      <c r="M262">
        <f>M261</f>
        <v/>
      </c>
      <c r="N262">
        <f>N261</f>
        <v/>
      </c>
      <c r="O262">
        <f>O261</f>
        <v/>
      </c>
      <c r="P262">
        <f>P261</f>
        <v/>
      </c>
      <c r="Q262">
        <f>Q261</f>
        <v/>
      </c>
    </row>
    <row r="263">
      <c r="A263" t="inlineStr"/>
      <c r="B263" t="inlineStr"/>
      <c r="C263" t="inlineStr">
        <is>
          <t>DC</t>
        </is>
      </c>
      <c r="D263" t="inlineStr">
        <is>
          <t>End. Backorder</t>
        </is>
      </c>
      <c r="E263" t="inlineStr">
        <is>
          <t>Demand</t>
        </is>
      </c>
      <c r="F263">
        <f>-MIN(0,F257+F262-F260)</f>
        <v/>
      </c>
      <c r="G263">
        <f>-MIN(0,G257+G262-G260)</f>
        <v/>
      </c>
      <c r="H263">
        <f>-MIN(0,H257+H262-H260)</f>
        <v/>
      </c>
      <c r="I263">
        <f>-MIN(0,I257+I262-I260)</f>
        <v/>
      </c>
      <c r="J263">
        <f>-MIN(0,J257+J262-J260)</f>
        <v/>
      </c>
      <c r="K263">
        <f>-MIN(0,K257+K262-K260)</f>
        <v/>
      </c>
      <c r="L263">
        <f>-MIN(0,L257+L262-L260)</f>
        <v/>
      </c>
      <c r="M263">
        <f>-MIN(0,M257+M262-M260)</f>
        <v/>
      </c>
      <c r="N263">
        <f>-MIN(0,N257+N262-N260)</f>
        <v/>
      </c>
      <c r="O263">
        <f>-MIN(0,O257+O262-O260)</f>
        <v/>
      </c>
      <c r="P263">
        <f>-MIN(0,P257+P262-P260)</f>
        <v/>
      </c>
      <c r="Q263">
        <f>-MIN(0,Q257+Q262-Q260)</f>
        <v/>
      </c>
    </row>
    <row r="264">
      <c r="A264" t="inlineStr"/>
      <c r="B264" t="inlineStr"/>
      <c r="C264" t="inlineStr">
        <is>
          <t>DC</t>
        </is>
      </c>
      <c r="D264" t="inlineStr">
        <is>
          <t>End. Inventory</t>
        </is>
      </c>
      <c r="E264" t="inlineStr">
        <is>
          <t>Inv</t>
        </is>
      </c>
      <c r="F264">
        <f>MAX(F257+F262-F260,0)</f>
        <v/>
      </c>
      <c r="G264">
        <f>MAX(G257+G262-G260,0)</f>
        <v/>
      </c>
      <c r="H264">
        <f>MAX(H257+H262-H260,0)</f>
        <v/>
      </c>
      <c r="I264">
        <f>MAX(I257+I262-I260,0)</f>
        <v/>
      </c>
      <c r="J264">
        <f>MAX(J257+J262-J260,0)</f>
        <v/>
      </c>
      <c r="K264">
        <f>MAX(K257+K262-K260,0)</f>
        <v/>
      </c>
      <c r="L264">
        <f>MAX(L257+L262-L260,0)</f>
        <v/>
      </c>
      <c r="M264">
        <f>MAX(M257+M262-M260,0)</f>
        <v/>
      </c>
      <c r="N264">
        <f>MAX(N257+N262-N260,0)</f>
        <v/>
      </c>
      <c r="O264">
        <f>MAX(O257+O262-O260,0)</f>
        <v/>
      </c>
      <c r="P264">
        <f>MAX(P257+P262-P260,0)</f>
        <v/>
      </c>
      <c r="Q264">
        <f>MAX(Q257+Q262-Q260,0)</f>
        <v/>
      </c>
    </row>
    <row r="265">
      <c r="A265" t="inlineStr"/>
      <c r="B265" t="inlineStr"/>
      <c r="C265" t="inlineStr">
        <is>
          <t>DC</t>
        </is>
      </c>
      <c r="D265" t="inlineStr">
        <is>
          <t>MSTN Thresold</t>
        </is>
      </c>
      <c r="E265" t="inlineStr">
        <is>
          <t>Inv</t>
        </is>
      </c>
      <c r="F265" t="n">
        <v>247</v>
      </c>
      <c r="G265" t="n">
        <v>247</v>
      </c>
      <c r="H265" t="n">
        <v>247</v>
      </c>
      <c r="I265" t="n">
        <v>247</v>
      </c>
      <c r="J265" t="n">
        <v>247</v>
      </c>
      <c r="K265" t="n">
        <v>247</v>
      </c>
      <c r="L265" t="n">
        <v>247</v>
      </c>
      <c r="M265" t="n">
        <v>247</v>
      </c>
      <c r="N265" t="n">
        <v>247</v>
      </c>
      <c r="O265" t="n">
        <v>247</v>
      </c>
      <c r="P265" t="n">
        <v>247</v>
      </c>
      <c r="Q265" t="n">
        <v>247</v>
      </c>
    </row>
    <row r="266">
      <c r="A266" t="inlineStr"/>
      <c r="B266" t="inlineStr"/>
      <c r="C266" t="inlineStr">
        <is>
          <t>DC</t>
        </is>
      </c>
      <c r="D266" t="inlineStr">
        <is>
          <t>ESTN Thresold</t>
        </is>
      </c>
      <c r="E266" t="inlineStr">
        <is>
          <t>Inv</t>
        </is>
      </c>
      <c r="F266" t="n">
        <v>958</v>
      </c>
      <c r="G266" t="n">
        <v>958</v>
      </c>
      <c r="H266" t="n">
        <v>958</v>
      </c>
      <c r="I266" t="n">
        <v>958</v>
      </c>
      <c r="J266" t="n">
        <v>958</v>
      </c>
      <c r="K266" t="n">
        <v>958</v>
      </c>
      <c r="L266" t="n">
        <v>958</v>
      </c>
      <c r="M266" t="n">
        <v>958</v>
      </c>
      <c r="N266" t="n">
        <v>958</v>
      </c>
      <c r="O266" t="n">
        <v>958</v>
      </c>
      <c r="P266" t="n">
        <v>958</v>
      </c>
      <c r="Q266" t="n">
        <v>958</v>
      </c>
    </row>
    <row r="267">
      <c r="A267" t="inlineStr"/>
      <c r="B267" t="inlineStr"/>
      <c r="C267" t="inlineStr">
        <is>
          <t>DC</t>
        </is>
      </c>
      <c r="D267" t="inlineStr">
        <is>
          <t>MSTN%</t>
        </is>
      </c>
      <c r="E267" t="inlineStr"/>
      <c r="F267" s="2">
        <f>IFERROR(MIN(F264,F265)/F265,1)</f>
        <v/>
      </c>
      <c r="G267" s="2">
        <f>IFERROR(MIN(G264,G265)/G265,1)</f>
        <v/>
      </c>
      <c r="H267" s="2">
        <f>IFERROR(MIN(H264,H265)/H265,1)</f>
        <v/>
      </c>
      <c r="I267" s="2">
        <f>IFERROR(MIN(I264,I265)/I265,1)</f>
        <v/>
      </c>
      <c r="J267" s="2">
        <f>IFERROR(MIN(J264,J265)/J265,1)</f>
        <v/>
      </c>
      <c r="K267" s="2">
        <f>IFERROR(MIN(K264,K265)/K265,1)</f>
        <v/>
      </c>
      <c r="L267" s="2">
        <f>IFERROR(MIN(L264,L265)/L265,1)</f>
        <v/>
      </c>
      <c r="M267" s="2">
        <f>IFERROR(MIN(M264,M265)/M265,1)</f>
        <v/>
      </c>
      <c r="N267" s="2">
        <f>IFERROR(MIN(N264,N265)/N265,1)</f>
        <v/>
      </c>
      <c r="O267" s="2">
        <f>IFERROR(MIN(O264,O265)/O265,1)</f>
        <v/>
      </c>
      <c r="P267" s="2">
        <f>IFERROR(MIN(P264,P265)/P265,1)</f>
        <v/>
      </c>
      <c r="Q267" s="2">
        <f>IFERROR(MIN(Q264,Q265)/Q265,1)</f>
        <v/>
      </c>
    </row>
    <row r="268">
      <c r="A268" t="inlineStr"/>
      <c r="B268" t="inlineStr"/>
      <c r="C268" t="inlineStr">
        <is>
          <t>DC</t>
        </is>
      </c>
      <c r="D268" t="inlineStr">
        <is>
          <t>ESTN%</t>
        </is>
      </c>
      <c r="E268" t="inlineStr"/>
      <c r="F268" s="2">
        <f>MAX(F264-F266,0)/F266</f>
        <v/>
      </c>
      <c r="G268" s="2">
        <f>MAX(G264-G266,0)/G266</f>
        <v/>
      </c>
      <c r="H268" s="2">
        <f>MAX(H264-H266,0)/H266</f>
        <v/>
      </c>
      <c r="I268" s="2">
        <f>MAX(I264-I266,0)/I266</f>
        <v/>
      </c>
      <c r="J268" s="2">
        <f>MAX(J264-J266,0)/J266</f>
        <v/>
      </c>
      <c r="K268" s="2">
        <f>MAX(K264-K266,0)/K266</f>
        <v/>
      </c>
      <c r="L268" s="2">
        <f>MAX(L264-L266,0)/L266</f>
        <v/>
      </c>
      <c r="M268" s="2">
        <f>MAX(M264-M266,0)/M266</f>
        <v/>
      </c>
      <c r="N268" s="2">
        <f>MAX(N264-N266,0)/N266</f>
        <v/>
      </c>
      <c r="O268" s="2">
        <f>MAX(O264-O266,0)/O266</f>
        <v/>
      </c>
      <c r="P268" s="2">
        <f>MAX(P264-P266,0)/P266</f>
        <v/>
      </c>
      <c r="Q268" s="2">
        <f>MAX(Q264-Q266,0)/Q266</f>
        <v/>
      </c>
    </row>
    <row r="269">
      <c r="A269" t="inlineStr"/>
      <c r="B269" t="inlineStr"/>
      <c r="C269" t="inlineStr">
        <is>
          <t>DC</t>
        </is>
      </c>
      <c r="D269" t="inlineStr">
        <is>
          <t>Shortage</t>
        </is>
      </c>
      <c r="E269" t="inlineStr">
        <is>
          <t>Inv</t>
        </is>
      </c>
      <c r="F269">
        <f>MAX(0,F265-F264)</f>
        <v/>
      </c>
      <c r="G269">
        <f>MAX(0,G265-G264)</f>
        <v/>
      </c>
      <c r="H269">
        <f>MAX(0,H265-H264)</f>
        <v/>
      </c>
      <c r="I269">
        <f>MAX(0,I265-I264)</f>
        <v/>
      </c>
      <c r="J269">
        <f>MAX(0,J265-J264)</f>
        <v/>
      </c>
      <c r="K269">
        <f>MAX(0,K265-K264)</f>
        <v/>
      </c>
      <c r="L269">
        <f>MAX(0,L265-L264)</f>
        <v/>
      </c>
      <c r="M269">
        <f>MAX(0,M265-M264)</f>
        <v/>
      </c>
      <c r="N269">
        <f>MAX(0,N265-N264)</f>
        <v/>
      </c>
      <c r="O269">
        <f>MAX(0,O265-O264)</f>
        <v/>
      </c>
      <c r="P269">
        <f>MAX(0,P265-P264)</f>
        <v/>
      </c>
      <c r="Q269">
        <f>MAX(0,Q265-Q264)</f>
        <v/>
      </c>
    </row>
    <row r="270">
      <c r="A270" t="inlineStr"/>
      <c r="B270" t="inlineStr"/>
      <c r="C270" t="inlineStr">
        <is>
          <t>DC</t>
        </is>
      </c>
      <c r="D270" t="inlineStr">
        <is>
          <t>Excess</t>
        </is>
      </c>
      <c r="E270" t="inlineStr">
        <is>
          <t>Inv</t>
        </is>
      </c>
      <c r="F270">
        <f>MAX(0,F264-F266)</f>
        <v/>
      </c>
      <c r="G270">
        <f>MAX(0,G264-G266)</f>
        <v/>
      </c>
      <c r="H270">
        <f>MAX(0,H264-H266)</f>
        <v/>
      </c>
      <c r="I270">
        <f>MAX(0,I264-I266)</f>
        <v/>
      </c>
      <c r="J270">
        <f>MAX(0,J264-J266)</f>
        <v/>
      </c>
      <c r="K270">
        <f>MAX(0,K264-K266)</f>
        <v/>
      </c>
      <c r="L270">
        <f>MAX(0,L264-L266)</f>
        <v/>
      </c>
      <c r="M270">
        <f>MAX(0,M264-M266)</f>
        <v/>
      </c>
      <c r="N270">
        <f>MAX(0,N264-N266)</f>
        <v/>
      </c>
      <c r="O270">
        <f>MAX(0,O264-O266)</f>
        <v/>
      </c>
      <c r="P270">
        <f>MAX(0,P264-P266)</f>
        <v/>
      </c>
      <c r="Q270">
        <f>MAX(0,Q264-Q266)</f>
        <v/>
      </c>
    </row>
    <row r="271">
      <c r="A271" t="inlineStr"/>
      <c r="B271" t="inlineStr"/>
      <c r="C271" t="inlineStr">
        <is>
          <t>DC</t>
        </is>
      </c>
      <c r="D271" t="inlineStr">
        <is>
          <t>Out of stock Value($)</t>
        </is>
      </c>
      <c r="E271" t="inlineStr">
        <is>
          <t>Val</t>
        </is>
      </c>
    </row>
    <row r="272">
      <c r="A272" t="inlineStr"/>
      <c r="B272" t="inlineStr"/>
      <c r="C272" t="inlineStr">
        <is>
          <t>DC</t>
        </is>
      </c>
      <c r="D272" t="inlineStr">
        <is>
          <t>Excess and over($)</t>
        </is>
      </c>
      <c r="E272" t="inlineStr">
        <is>
          <t>Val</t>
        </is>
      </c>
    </row>
    <row r="273"/>
    <row r="274">
      <c r="A274" t="inlineStr">
        <is>
          <t>SKU_0004</t>
        </is>
      </c>
      <c r="B274" t="inlineStr">
        <is>
          <t>DC2</t>
        </is>
      </c>
      <c r="C274" t="inlineStr">
        <is>
          <t>DC</t>
        </is>
      </c>
      <c r="D274" t="inlineStr">
        <is>
          <t>Start Inventory</t>
        </is>
      </c>
      <c r="E274" t="inlineStr">
        <is>
          <t>Inv</t>
        </is>
      </c>
      <c r="F274" t="n">
        <v>639</v>
      </c>
      <c r="G274">
        <f>F281</f>
        <v/>
      </c>
      <c r="H274">
        <f>G281</f>
        <v/>
      </c>
      <c r="I274">
        <f>H281</f>
        <v/>
      </c>
      <c r="J274">
        <f>I281</f>
        <v/>
      </c>
      <c r="K274">
        <f>J281</f>
        <v/>
      </c>
      <c r="L274">
        <f>K281</f>
        <v/>
      </c>
      <c r="M274">
        <f>L281</f>
        <v/>
      </c>
      <c r="N274">
        <f>M281</f>
        <v/>
      </c>
      <c r="O274">
        <f>N281</f>
        <v/>
      </c>
      <c r="P274">
        <f>O281</f>
        <v/>
      </c>
      <c r="Q274">
        <f>P281</f>
        <v/>
      </c>
    </row>
    <row r="275">
      <c r="A275" t="inlineStr"/>
      <c r="B275" t="inlineStr"/>
      <c r="C275" t="inlineStr">
        <is>
          <t>DC</t>
        </is>
      </c>
      <c r="D275" t="inlineStr">
        <is>
          <t>Total Forecast/Order</t>
        </is>
      </c>
      <c r="E275" t="inlineStr">
        <is>
          <t>Demand</t>
        </is>
      </c>
      <c r="F275" t="n">
        <v>108</v>
      </c>
      <c r="G275" t="n">
        <v>111</v>
      </c>
      <c r="H275" t="n">
        <v>137</v>
      </c>
      <c r="I275" t="n">
        <v>90</v>
      </c>
      <c r="J275" t="n">
        <v>101</v>
      </c>
      <c r="K275" t="n">
        <v>130</v>
      </c>
      <c r="L275" t="n">
        <v>145</v>
      </c>
      <c r="M275" t="n">
        <v>123</v>
      </c>
      <c r="N275" t="n">
        <v>150</v>
      </c>
      <c r="O275" t="n">
        <v>106</v>
      </c>
      <c r="P275" t="n">
        <v>123</v>
      </c>
      <c r="Q275" t="n">
        <v>134</v>
      </c>
    </row>
    <row r="276">
      <c r="A276" t="inlineStr"/>
      <c r="B276" t="inlineStr"/>
      <c r="C276" t="inlineStr">
        <is>
          <t>DC</t>
        </is>
      </c>
      <c r="D276" t="inlineStr">
        <is>
          <t>Start Backorder</t>
        </is>
      </c>
      <c r="E276" t="inlineStr">
        <is>
          <t>Demand</t>
        </is>
      </c>
      <c r="F276" t="n">
        <v>0</v>
      </c>
      <c r="G276">
        <f>F280</f>
        <v/>
      </c>
      <c r="H276">
        <f>G280</f>
        <v/>
      </c>
      <c r="I276">
        <f>H280</f>
        <v/>
      </c>
      <c r="J276">
        <f>I280</f>
        <v/>
      </c>
      <c r="K276">
        <f>J280</f>
        <v/>
      </c>
      <c r="L276">
        <f>K280</f>
        <v/>
      </c>
      <c r="M276">
        <f>L280</f>
        <v/>
      </c>
      <c r="N276">
        <f>M280</f>
        <v/>
      </c>
      <c r="O276">
        <f>N280</f>
        <v/>
      </c>
      <c r="P276">
        <f>O280</f>
        <v/>
      </c>
      <c r="Q276">
        <f>P280</f>
        <v/>
      </c>
    </row>
    <row r="277">
      <c r="A277" t="inlineStr"/>
      <c r="B277" t="inlineStr"/>
      <c r="C277" t="inlineStr">
        <is>
          <t>DC</t>
        </is>
      </c>
      <c r="D277" t="inlineStr">
        <is>
          <t>Total Demand</t>
        </is>
      </c>
      <c r="E277" t="inlineStr">
        <is>
          <t>Demand</t>
        </is>
      </c>
      <c r="F277">
        <f>F275+F276</f>
        <v/>
      </c>
      <c r="G277">
        <f>G275+G276</f>
        <v/>
      </c>
      <c r="H277">
        <f>H275+H276</f>
        <v/>
      </c>
      <c r="I277">
        <f>I275+I276</f>
        <v/>
      </c>
      <c r="J277">
        <f>J275+J276</f>
        <v/>
      </c>
      <c r="K277">
        <f>K275+K276</f>
        <v/>
      </c>
      <c r="L277">
        <f>L275+L276</f>
        <v/>
      </c>
      <c r="M277">
        <f>M275+M276</f>
        <v/>
      </c>
      <c r="N277">
        <f>N275+N276</f>
        <v/>
      </c>
      <c r="O277">
        <f>O275+O276</f>
        <v/>
      </c>
      <c r="P277">
        <f>P275+P276</f>
        <v/>
      </c>
      <c r="Q277">
        <f>Q275+Q276</f>
        <v/>
      </c>
    </row>
    <row r="278">
      <c r="A278" t="inlineStr"/>
      <c r="B278" t="inlineStr"/>
      <c r="C278" t="inlineStr">
        <is>
          <t>DC</t>
        </is>
      </c>
      <c r="D278" t="inlineStr">
        <is>
          <t>Dist. Receipt Planned</t>
        </is>
      </c>
      <c r="E278" t="inlineStr">
        <is>
          <t>Supply</t>
        </is>
      </c>
      <c r="F278" t="n">
        <v>342</v>
      </c>
      <c r="G278" t="n">
        <v>651</v>
      </c>
      <c r="H278" t="n">
        <v>0</v>
      </c>
      <c r="I278" t="n">
        <v>333</v>
      </c>
      <c r="J278" t="n">
        <v>0</v>
      </c>
      <c r="K278" t="n">
        <v>0</v>
      </c>
      <c r="L278" t="n">
        <v>0</v>
      </c>
      <c r="M278" t="n">
        <v>294</v>
      </c>
      <c r="N278" t="n">
        <v>606</v>
      </c>
      <c r="O278" t="n">
        <v>282</v>
      </c>
      <c r="P278" t="n">
        <v>0</v>
      </c>
      <c r="Q278" t="n">
        <v>0</v>
      </c>
    </row>
    <row r="279">
      <c r="A279" t="inlineStr"/>
      <c r="B279" t="inlineStr"/>
      <c r="C279" t="inlineStr">
        <is>
          <t>DC</t>
        </is>
      </c>
      <c r="D279" t="inlineStr">
        <is>
          <t>Total Supply</t>
        </is>
      </c>
      <c r="E279" t="inlineStr">
        <is>
          <t>Supply</t>
        </is>
      </c>
      <c r="F279">
        <f>F278</f>
        <v/>
      </c>
      <c r="G279">
        <f>G278</f>
        <v/>
      </c>
      <c r="H279">
        <f>H278</f>
        <v/>
      </c>
      <c r="I279">
        <f>I278</f>
        <v/>
      </c>
      <c r="J279">
        <f>J278</f>
        <v/>
      </c>
      <c r="K279">
        <f>K278</f>
        <v/>
      </c>
      <c r="L279">
        <f>L278</f>
        <v/>
      </c>
      <c r="M279">
        <f>M278</f>
        <v/>
      </c>
      <c r="N279">
        <f>N278</f>
        <v/>
      </c>
      <c r="O279">
        <f>O278</f>
        <v/>
      </c>
      <c r="P279">
        <f>P278</f>
        <v/>
      </c>
      <c r="Q279">
        <f>Q278</f>
        <v/>
      </c>
    </row>
    <row r="280">
      <c r="A280" t="inlineStr"/>
      <c r="B280" t="inlineStr"/>
      <c r="C280" t="inlineStr">
        <is>
          <t>DC</t>
        </is>
      </c>
      <c r="D280" t="inlineStr">
        <is>
          <t>End. Backorder</t>
        </is>
      </c>
      <c r="E280" t="inlineStr">
        <is>
          <t>Demand</t>
        </is>
      </c>
      <c r="F280">
        <f>-MIN(0,F274+F279-F277)</f>
        <v/>
      </c>
      <c r="G280">
        <f>-MIN(0,G274+G279-G277)</f>
        <v/>
      </c>
      <c r="H280">
        <f>-MIN(0,H274+H279-H277)</f>
        <v/>
      </c>
      <c r="I280">
        <f>-MIN(0,I274+I279-I277)</f>
        <v/>
      </c>
      <c r="J280">
        <f>-MIN(0,J274+J279-J277)</f>
        <v/>
      </c>
      <c r="K280">
        <f>-MIN(0,K274+K279-K277)</f>
        <v/>
      </c>
      <c r="L280">
        <f>-MIN(0,L274+L279-L277)</f>
        <v/>
      </c>
      <c r="M280">
        <f>-MIN(0,M274+M279-M277)</f>
        <v/>
      </c>
      <c r="N280">
        <f>-MIN(0,N274+N279-N277)</f>
        <v/>
      </c>
      <c r="O280">
        <f>-MIN(0,O274+O279-O277)</f>
        <v/>
      </c>
      <c r="P280">
        <f>-MIN(0,P274+P279-P277)</f>
        <v/>
      </c>
      <c r="Q280">
        <f>-MIN(0,Q274+Q279-Q277)</f>
        <v/>
      </c>
    </row>
    <row r="281">
      <c r="A281" t="inlineStr"/>
      <c r="B281" t="inlineStr"/>
      <c r="C281" t="inlineStr">
        <is>
          <t>DC</t>
        </is>
      </c>
      <c r="D281" t="inlineStr">
        <is>
          <t>End. Inventory</t>
        </is>
      </c>
      <c r="E281" t="inlineStr">
        <is>
          <t>Inv</t>
        </is>
      </c>
      <c r="F281">
        <f>MAX(F274+F279-F277,0)</f>
        <v/>
      </c>
      <c r="G281">
        <f>MAX(G274+G279-G277,0)</f>
        <v/>
      </c>
      <c r="H281">
        <f>MAX(H274+H279-H277,0)</f>
        <v/>
      </c>
      <c r="I281">
        <f>MAX(I274+I279-I277,0)</f>
        <v/>
      </c>
      <c r="J281">
        <f>MAX(J274+J279-J277,0)</f>
        <v/>
      </c>
      <c r="K281">
        <f>MAX(K274+K279-K277,0)</f>
        <v/>
      </c>
      <c r="L281">
        <f>MAX(L274+L279-L277,0)</f>
        <v/>
      </c>
      <c r="M281">
        <f>MAX(M274+M279-M277,0)</f>
        <v/>
      </c>
      <c r="N281">
        <f>MAX(N274+N279-N277,0)</f>
        <v/>
      </c>
      <c r="O281">
        <f>MAX(O274+O279-O277,0)</f>
        <v/>
      </c>
      <c r="P281">
        <f>MAX(P274+P279-P277,0)</f>
        <v/>
      </c>
      <c r="Q281">
        <f>MAX(Q274+Q279-Q277,0)</f>
        <v/>
      </c>
    </row>
    <row r="282">
      <c r="A282" t="inlineStr"/>
      <c r="B282" t="inlineStr"/>
      <c r="C282" t="inlineStr">
        <is>
          <t>DC</t>
        </is>
      </c>
      <c r="D282" t="inlineStr">
        <is>
          <t>MSTN Thresold</t>
        </is>
      </c>
      <c r="E282" t="inlineStr">
        <is>
          <t>Inv</t>
        </is>
      </c>
      <c r="F282" t="n">
        <v>497</v>
      </c>
      <c r="G282" t="n">
        <v>497</v>
      </c>
      <c r="H282" t="n">
        <v>497</v>
      </c>
      <c r="I282" t="n">
        <v>497</v>
      </c>
      <c r="J282" t="n">
        <v>497</v>
      </c>
      <c r="K282" t="n">
        <v>497</v>
      </c>
      <c r="L282" t="n">
        <v>497</v>
      </c>
      <c r="M282" t="n">
        <v>497</v>
      </c>
      <c r="N282" t="n">
        <v>497</v>
      </c>
      <c r="O282" t="n">
        <v>497</v>
      </c>
      <c r="P282" t="n">
        <v>497</v>
      </c>
      <c r="Q282" t="n">
        <v>497</v>
      </c>
    </row>
    <row r="283">
      <c r="A283" t="inlineStr"/>
      <c r="B283" t="inlineStr"/>
      <c r="C283" t="inlineStr">
        <is>
          <t>DC</t>
        </is>
      </c>
      <c r="D283" t="inlineStr">
        <is>
          <t>ESTN Thresold</t>
        </is>
      </c>
      <c r="E283" t="inlineStr">
        <is>
          <t>Inv</t>
        </is>
      </c>
      <c r="F283" t="n">
        <v>1159</v>
      </c>
      <c r="G283" t="n">
        <v>1159</v>
      </c>
      <c r="H283" t="n">
        <v>1159</v>
      </c>
      <c r="I283" t="n">
        <v>1159</v>
      </c>
      <c r="J283" t="n">
        <v>1159</v>
      </c>
      <c r="K283" t="n">
        <v>1159</v>
      </c>
      <c r="L283" t="n">
        <v>1159</v>
      </c>
      <c r="M283" t="n">
        <v>1159</v>
      </c>
      <c r="N283" t="n">
        <v>1159</v>
      </c>
      <c r="O283" t="n">
        <v>1159</v>
      </c>
      <c r="P283" t="n">
        <v>1159</v>
      </c>
      <c r="Q283" t="n">
        <v>1159</v>
      </c>
    </row>
    <row r="284">
      <c r="A284" t="inlineStr"/>
      <c r="B284" t="inlineStr"/>
      <c r="C284" t="inlineStr">
        <is>
          <t>DC</t>
        </is>
      </c>
      <c r="D284" t="inlineStr">
        <is>
          <t>MSTN%</t>
        </is>
      </c>
      <c r="E284" t="inlineStr"/>
      <c r="F284" s="2">
        <f>IFERROR(MIN(F281,F282)/F282,1)</f>
        <v/>
      </c>
      <c r="G284" s="2">
        <f>IFERROR(MIN(G281,G282)/G282,1)</f>
        <v/>
      </c>
      <c r="H284" s="2">
        <f>IFERROR(MIN(H281,H282)/H282,1)</f>
        <v/>
      </c>
      <c r="I284" s="2">
        <f>IFERROR(MIN(I281,I282)/I282,1)</f>
        <v/>
      </c>
      <c r="J284" s="2">
        <f>IFERROR(MIN(J281,J282)/J282,1)</f>
        <v/>
      </c>
      <c r="K284" s="2">
        <f>IFERROR(MIN(K281,K282)/K282,1)</f>
        <v/>
      </c>
      <c r="L284" s="2">
        <f>IFERROR(MIN(L281,L282)/L282,1)</f>
        <v/>
      </c>
      <c r="M284" s="2">
        <f>IFERROR(MIN(M281,M282)/M282,1)</f>
        <v/>
      </c>
      <c r="N284" s="2">
        <f>IFERROR(MIN(N281,N282)/N282,1)</f>
        <v/>
      </c>
      <c r="O284" s="2">
        <f>IFERROR(MIN(O281,O282)/O282,1)</f>
        <v/>
      </c>
      <c r="P284" s="2">
        <f>IFERROR(MIN(P281,P282)/P282,1)</f>
        <v/>
      </c>
      <c r="Q284" s="2">
        <f>IFERROR(MIN(Q281,Q282)/Q282,1)</f>
        <v/>
      </c>
    </row>
    <row r="285">
      <c r="A285" t="inlineStr"/>
      <c r="B285" t="inlineStr"/>
      <c r="C285" t="inlineStr">
        <is>
          <t>DC</t>
        </is>
      </c>
      <c r="D285" t="inlineStr">
        <is>
          <t>ESTN%</t>
        </is>
      </c>
      <c r="E285" t="inlineStr"/>
      <c r="F285" s="2">
        <f>MAX(F281-F283,0)/F283</f>
        <v/>
      </c>
      <c r="G285" s="2">
        <f>MAX(G281-G283,0)/G283</f>
        <v/>
      </c>
      <c r="H285" s="2">
        <f>MAX(H281-H283,0)/H283</f>
        <v/>
      </c>
      <c r="I285" s="2">
        <f>MAX(I281-I283,0)/I283</f>
        <v/>
      </c>
      <c r="J285" s="2">
        <f>MAX(J281-J283,0)/J283</f>
        <v/>
      </c>
      <c r="K285" s="2">
        <f>MAX(K281-K283,0)/K283</f>
        <v/>
      </c>
      <c r="L285" s="2">
        <f>MAX(L281-L283,0)/L283</f>
        <v/>
      </c>
      <c r="M285" s="2">
        <f>MAX(M281-M283,0)/M283</f>
        <v/>
      </c>
      <c r="N285" s="2">
        <f>MAX(N281-N283,0)/N283</f>
        <v/>
      </c>
      <c r="O285" s="2">
        <f>MAX(O281-O283,0)/O283</f>
        <v/>
      </c>
      <c r="P285" s="2">
        <f>MAX(P281-P283,0)/P283</f>
        <v/>
      </c>
      <c r="Q285" s="2">
        <f>MAX(Q281-Q283,0)/Q283</f>
        <v/>
      </c>
    </row>
    <row r="286">
      <c r="A286" t="inlineStr"/>
      <c r="B286" t="inlineStr"/>
      <c r="C286" t="inlineStr">
        <is>
          <t>DC</t>
        </is>
      </c>
      <c r="D286" t="inlineStr">
        <is>
          <t>Shortage</t>
        </is>
      </c>
      <c r="E286" t="inlineStr">
        <is>
          <t>Inv</t>
        </is>
      </c>
      <c r="F286">
        <f>MAX(0,F282-F281)</f>
        <v/>
      </c>
      <c r="G286">
        <f>MAX(0,G282-G281)</f>
        <v/>
      </c>
      <c r="H286">
        <f>MAX(0,H282-H281)</f>
        <v/>
      </c>
      <c r="I286">
        <f>MAX(0,I282-I281)</f>
        <v/>
      </c>
      <c r="J286">
        <f>MAX(0,J282-J281)</f>
        <v/>
      </c>
      <c r="K286">
        <f>MAX(0,K282-K281)</f>
        <v/>
      </c>
      <c r="L286">
        <f>MAX(0,L282-L281)</f>
        <v/>
      </c>
      <c r="M286">
        <f>MAX(0,M282-M281)</f>
        <v/>
      </c>
      <c r="N286">
        <f>MAX(0,N282-N281)</f>
        <v/>
      </c>
      <c r="O286">
        <f>MAX(0,O282-O281)</f>
        <v/>
      </c>
      <c r="P286">
        <f>MAX(0,P282-P281)</f>
        <v/>
      </c>
      <c r="Q286">
        <f>MAX(0,Q282-Q281)</f>
        <v/>
      </c>
    </row>
    <row r="287">
      <c r="A287" t="inlineStr"/>
      <c r="B287" t="inlineStr"/>
      <c r="C287" t="inlineStr">
        <is>
          <t>DC</t>
        </is>
      </c>
      <c r="D287" t="inlineStr">
        <is>
          <t>Excess</t>
        </is>
      </c>
      <c r="E287" t="inlineStr">
        <is>
          <t>Inv</t>
        </is>
      </c>
      <c r="F287">
        <f>MAX(0,F281-F283)</f>
        <v/>
      </c>
      <c r="G287">
        <f>MAX(0,G281-G283)</f>
        <v/>
      </c>
      <c r="H287">
        <f>MAX(0,H281-H283)</f>
        <v/>
      </c>
      <c r="I287">
        <f>MAX(0,I281-I283)</f>
        <v/>
      </c>
      <c r="J287">
        <f>MAX(0,J281-J283)</f>
        <v/>
      </c>
      <c r="K287">
        <f>MAX(0,K281-K283)</f>
        <v/>
      </c>
      <c r="L287">
        <f>MAX(0,L281-L283)</f>
        <v/>
      </c>
      <c r="M287">
        <f>MAX(0,M281-M283)</f>
        <v/>
      </c>
      <c r="N287">
        <f>MAX(0,N281-N283)</f>
        <v/>
      </c>
      <c r="O287">
        <f>MAX(0,O281-O283)</f>
        <v/>
      </c>
      <c r="P287">
        <f>MAX(0,P281-P283)</f>
        <v/>
      </c>
      <c r="Q287">
        <f>MAX(0,Q281-Q283)</f>
        <v/>
      </c>
    </row>
    <row r="288">
      <c r="A288" t="inlineStr"/>
      <c r="B288" t="inlineStr"/>
      <c r="C288" t="inlineStr">
        <is>
          <t>DC</t>
        </is>
      </c>
      <c r="D288" t="inlineStr">
        <is>
          <t>Out of stock Value($)</t>
        </is>
      </c>
      <c r="E288" t="inlineStr">
        <is>
          <t>Val</t>
        </is>
      </c>
    </row>
    <row r="289">
      <c r="A289" t="inlineStr"/>
      <c r="B289" t="inlineStr"/>
      <c r="C289" t="inlineStr">
        <is>
          <t>DC</t>
        </is>
      </c>
      <c r="D289" t="inlineStr">
        <is>
          <t>Excess and over($)</t>
        </is>
      </c>
      <c r="E289" t="inlineStr">
        <is>
          <t>Val</t>
        </is>
      </c>
    </row>
    <row r="290"/>
    <row r="291">
      <c r="A291" t="inlineStr">
        <is>
          <t>SKU_0004</t>
        </is>
      </c>
      <c r="B291" t="inlineStr">
        <is>
          <t>DC4</t>
        </is>
      </c>
      <c r="C291" t="inlineStr">
        <is>
          <t>DC</t>
        </is>
      </c>
      <c r="D291" t="inlineStr">
        <is>
          <t>Start Inventory</t>
        </is>
      </c>
      <c r="E291" t="inlineStr">
        <is>
          <t>Inv</t>
        </is>
      </c>
      <c r="F291" t="n">
        <v>321</v>
      </c>
      <c r="G291">
        <f>F298</f>
        <v/>
      </c>
      <c r="H291">
        <f>G298</f>
        <v/>
      </c>
      <c r="I291">
        <f>H298</f>
        <v/>
      </c>
      <c r="J291">
        <f>I298</f>
        <v/>
      </c>
      <c r="K291">
        <f>J298</f>
        <v/>
      </c>
      <c r="L291">
        <f>K298</f>
        <v/>
      </c>
      <c r="M291">
        <f>L298</f>
        <v/>
      </c>
      <c r="N291">
        <f>M298</f>
        <v/>
      </c>
      <c r="O291">
        <f>N298</f>
        <v/>
      </c>
      <c r="P291">
        <f>O298</f>
        <v/>
      </c>
      <c r="Q291">
        <f>P298</f>
        <v/>
      </c>
    </row>
    <row r="292">
      <c r="A292" t="inlineStr"/>
      <c r="B292" t="inlineStr"/>
      <c r="C292" t="inlineStr">
        <is>
          <t>DC</t>
        </is>
      </c>
      <c r="D292" t="inlineStr">
        <is>
          <t>Total Forecast/Order</t>
        </is>
      </c>
      <c r="E292" t="inlineStr">
        <is>
          <t>Demand</t>
        </is>
      </c>
      <c r="F292" t="n">
        <v>115</v>
      </c>
      <c r="G292" t="n">
        <v>116</v>
      </c>
      <c r="H292" t="n">
        <v>101</v>
      </c>
      <c r="I292" t="n">
        <v>109</v>
      </c>
      <c r="J292" t="n">
        <v>146</v>
      </c>
      <c r="K292" t="n">
        <v>137</v>
      </c>
      <c r="L292" t="n">
        <v>107</v>
      </c>
      <c r="M292" t="n">
        <v>112</v>
      </c>
      <c r="N292" t="n">
        <v>106</v>
      </c>
      <c r="O292" t="n">
        <v>125</v>
      </c>
      <c r="P292" t="n">
        <v>114</v>
      </c>
      <c r="Q292" t="n">
        <v>122</v>
      </c>
    </row>
    <row r="293">
      <c r="A293" t="inlineStr"/>
      <c r="B293" t="inlineStr"/>
      <c r="C293" t="inlineStr">
        <is>
          <t>DC</t>
        </is>
      </c>
      <c r="D293" t="inlineStr">
        <is>
          <t>Start Backorder</t>
        </is>
      </c>
      <c r="E293" t="inlineStr">
        <is>
          <t>Demand</t>
        </is>
      </c>
      <c r="F293" t="n">
        <v>0</v>
      </c>
      <c r="G293">
        <f>F297</f>
        <v/>
      </c>
      <c r="H293">
        <f>G297</f>
        <v/>
      </c>
      <c r="I293">
        <f>H297</f>
        <v/>
      </c>
      <c r="J293">
        <f>I297</f>
        <v/>
      </c>
      <c r="K293">
        <f>J297</f>
        <v/>
      </c>
      <c r="L293">
        <f>K297</f>
        <v/>
      </c>
      <c r="M293">
        <f>L297</f>
        <v/>
      </c>
      <c r="N293">
        <f>M297</f>
        <v/>
      </c>
      <c r="O293">
        <f>N297</f>
        <v/>
      </c>
      <c r="P293">
        <f>O297</f>
        <v/>
      </c>
      <c r="Q293">
        <f>P297</f>
        <v/>
      </c>
    </row>
    <row r="294">
      <c r="A294" t="inlineStr"/>
      <c r="B294" t="inlineStr"/>
      <c r="C294" t="inlineStr">
        <is>
          <t>DC</t>
        </is>
      </c>
      <c r="D294" t="inlineStr">
        <is>
          <t>Total Demand</t>
        </is>
      </c>
      <c r="E294" t="inlineStr">
        <is>
          <t>Demand</t>
        </is>
      </c>
      <c r="F294">
        <f>F292+F293</f>
        <v/>
      </c>
      <c r="G294">
        <f>G292+G293</f>
        <v/>
      </c>
      <c r="H294">
        <f>H292+H293</f>
        <v/>
      </c>
      <c r="I294">
        <f>I292+I293</f>
        <v/>
      </c>
      <c r="J294">
        <f>J292+J293</f>
        <v/>
      </c>
      <c r="K294">
        <f>K292+K293</f>
        <v/>
      </c>
      <c r="L294">
        <f>L292+L293</f>
        <v/>
      </c>
      <c r="M294">
        <f>M292+M293</f>
        <v/>
      </c>
      <c r="N294">
        <f>N292+N293</f>
        <v/>
      </c>
      <c r="O294">
        <f>O292+O293</f>
        <v/>
      </c>
      <c r="P294">
        <f>P292+P293</f>
        <v/>
      </c>
      <c r="Q294">
        <f>Q292+Q293</f>
        <v/>
      </c>
    </row>
    <row r="295">
      <c r="A295" t="inlineStr"/>
      <c r="B295" t="inlineStr"/>
      <c r="C295" t="inlineStr">
        <is>
          <t>DC</t>
        </is>
      </c>
      <c r="D295" t="inlineStr">
        <is>
          <t>Dist. Receipt Planned</t>
        </is>
      </c>
      <c r="E295" t="inlineStr">
        <is>
          <t>Supply</t>
        </is>
      </c>
      <c r="F295" t="n">
        <v>0</v>
      </c>
      <c r="G295" t="n">
        <v>0</v>
      </c>
      <c r="H295" t="n">
        <v>0</v>
      </c>
      <c r="I295" t="n">
        <v>0</v>
      </c>
      <c r="J295" t="n">
        <v>0</v>
      </c>
      <c r="K295" t="n">
        <v>839</v>
      </c>
      <c r="L295" t="n">
        <v>0</v>
      </c>
      <c r="M295" t="n">
        <v>0</v>
      </c>
      <c r="N295" t="n">
        <v>0</v>
      </c>
      <c r="O295" t="n">
        <v>270</v>
      </c>
      <c r="P295" t="n">
        <v>256</v>
      </c>
      <c r="Q295" t="n">
        <v>0</v>
      </c>
    </row>
    <row r="296">
      <c r="A296" t="inlineStr"/>
      <c r="B296" t="inlineStr"/>
      <c r="C296" t="inlineStr">
        <is>
          <t>DC</t>
        </is>
      </c>
      <c r="D296" t="inlineStr">
        <is>
          <t>Total Supply</t>
        </is>
      </c>
      <c r="E296" t="inlineStr">
        <is>
          <t>Supply</t>
        </is>
      </c>
      <c r="F296">
        <f>F295</f>
        <v/>
      </c>
      <c r="G296">
        <f>G295</f>
        <v/>
      </c>
      <c r="H296">
        <f>H295</f>
        <v/>
      </c>
      <c r="I296">
        <f>I295</f>
        <v/>
      </c>
      <c r="J296">
        <f>J295</f>
        <v/>
      </c>
      <c r="K296">
        <f>K295</f>
        <v/>
      </c>
      <c r="L296">
        <f>L295</f>
        <v/>
      </c>
      <c r="M296">
        <f>M295</f>
        <v/>
      </c>
      <c r="N296">
        <f>N295</f>
        <v/>
      </c>
      <c r="O296">
        <f>O295</f>
        <v/>
      </c>
      <c r="P296">
        <f>P295</f>
        <v/>
      </c>
      <c r="Q296">
        <f>Q295</f>
        <v/>
      </c>
    </row>
    <row r="297">
      <c r="A297" t="inlineStr"/>
      <c r="B297" t="inlineStr"/>
      <c r="C297" t="inlineStr">
        <is>
          <t>DC</t>
        </is>
      </c>
      <c r="D297" t="inlineStr">
        <is>
          <t>End. Backorder</t>
        </is>
      </c>
      <c r="E297" t="inlineStr">
        <is>
          <t>Demand</t>
        </is>
      </c>
      <c r="F297">
        <f>-MIN(0,F291+F296-F294)</f>
        <v/>
      </c>
      <c r="G297">
        <f>-MIN(0,G291+G296-G294)</f>
        <v/>
      </c>
      <c r="H297">
        <f>-MIN(0,H291+H296-H294)</f>
        <v/>
      </c>
      <c r="I297">
        <f>-MIN(0,I291+I296-I294)</f>
        <v/>
      </c>
      <c r="J297">
        <f>-MIN(0,J291+J296-J294)</f>
        <v/>
      </c>
      <c r="K297">
        <f>-MIN(0,K291+K296-K294)</f>
        <v/>
      </c>
      <c r="L297">
        <f>-MIN(0,L291+L296-L294)</f>
        <v/>
      </c>
      <c r="M297">
        <f>-MIN(0,M291+M296-M294)</f>
        <v/>
      </c>
      <c r="N297">
        <f>-MIN(0,N291+N296-N294)</f>
        <v/>
      </c>
      <c r="O297">
        <f>-MIN(0,O291+O296-O294)</f>
        <v/>
      </c>
      <c r="P297">
        <f>-MIN(0,P291+P296-P294)</f>
        <v/>
      </c>
      <c r="Q297">
        <f>-MIN(0,Q291+Q296-Q294)</f>
        <v/>
      </c>
    </row>
    <row r="298">
      <c r="A298" t="inlineStr"/>
      <c r="B298" t="inlineStr"/>
      <c r="C298" t="inlineStr">
        <is>
          <t>DC</t>
        </is>
      </c>
      <c r="D298" t="inlineStr">
        <is>
          <t>End. Inventory</t>
        </is>
      </c>
      <c r="E298" t="inlineStr">
        <is>
          <t>Inv</t>
        </is>
      </c>
      <c r="F298">
        <f>MAX(F291+F296-F294,0)</f>
        <v/>
      </c>
      <c r="G298">
        <f>MAX(G291+G296-G294,0)</f>
        <v/>
      </c>
      <c r="H298">
        <f>MAX(H291+H296-H294,0)</f>
        <v/>
      </c>
      <c r="I298">
        <f>MAX(I291+I296-I294,0)</f>
        <v/>
      </c>
      <c r="J298">
        <f>MAX(J291+J296-J294,0)</f>
        <v/>
      </c>
      <c r="K298">
        <f>MAX(K291+K296-K294,0)</f>
        <v/>
      </c>
      <c r="L298">
        <f>MAX(L291+L296-L294,0)</f>
        <v/>
      </c>
      <c r="M298">
        <f>MAX(M291+M296-M294,0)</f>
        <v/>
      </c>
      <c r="N298">
        <f>MAX(N291+N296-N294,0)</f>
        <v/>
      </c>
      <c r="O298">
        <f>MAX(O291+O296-O294,0)</f>
        <v/>
      </c>
      <c r="P298">
        <f>MAX(P291+P296-P294,0)</f>
        <v/>
      </c>
      <c r="Q298">
        <f>MAX(Q291+Q296-Q294,0)</f>
        <v/>
      </c>
    </row>
    <row r="299">
      <c r="A299" t="inlineStr"/>
      <c r="B299" t="inlineStr"/>
      <c r="C299" t="inlineStr">
        <is>
          <t>DC</t>
        </is>
      </c>
      <c r="D299" t="inlineStr">
        <is>
          <t>MSTN Thresold</t>
        </is>
      </c>
      <c r="E299" t="inlineStr">
        <is>
          <t>Inv</t>
        </is>
      </c>
      <c r="F299" t="n">
        <v>460</v>
      </c>
      <c r="G299" t="n">
        <v>460</v>
      </c>
      <c r="H299" t="n">
        <v>460</v>
      </c>
      <c r="I299" t="n">
        <v>460</v>
      </c>
      <c r="J299" t="n">
        <v>460</v>
      </c>
      <c r="K299" t="n">
        <v>460</v>
      </c>
      <c r="L299" t="n">
        <v>460</v>
      </c>
      <c r="M299" t="n">
        <v>460</v>
      </c>
      <c r="N299" t="n">
        <v>460</v>
      </c>
      <c r="O299" t="n">
        <v>460</v>
      </c>
      <c r="P299" t="n">
        <v>460</v>
      </c>
      <c r="Q299" t="n">
        <v>460</v>
      </c>
    </row>
    <row r="300">
      <c r="A300" t="inlineStr"/>
      <c r="B300" t="inlineStr"/>
      <c r="C300" t="inlineStr">
        <is>
          <t>DC</t>
        </is>
      </c>
      <c r="D300" t="inlineStr">
        <is>
          <t>ESTN Thresold</t>
        </is>
      </c>
      <c r="E300" t="inlineStr">
        <is>
          <t>Inv</t>
        </is>
      </c>
      <c r="F300" t="n">
        <v>1604</v>
      </c>
      <c r="G300" t="n">
        <v>1604</v>
      </c>
      <c r="H300" t="n">
        <v>1604</v>
      </c>
      <c r="I300" t="n">
        <v>1604</v>
      </c>
      <c r="J300" t="n">
        <v>1604</v>
      </c>
      <c r="K300" t="n">
        <v>1604</v>
      </c>
      <c r="L300" t="n">
        <v>1604</v>
      </c>
      <c r="M300" t="n">
        <v>1604</v>
      </c>
      <c r="N300" t="n">
        <v>1604</v>
      </c>
      <c r="O300" t="n">
        <v>1604</v>
      </c>
      <c r="P300" t="n">
        <v>1604</v>
      </c>
      <c r="Q300" t="n">
        <v>1604</v>
      </c>
    </row>
    <row r="301">
      <c r="A301" t="inlineStr"/>
      <c r="B301" t="inlineStr"/>
      <c r="C301" t="inlineStr">
        <is>
          <t>DC</t>
        </is>
      </c>
      <c r="D301" t="inlineStr">
        <is>
          <t>MSTN%</t>
        </is>
      </c>
      <c r="E301" t="inlineStr"/>
      <c r="F301" s="2">
        <f>IFERROR(MIN(F298,F299)/F299,1)</f>
        <v/>
      </c>
      <c r="G301" s="2">
        <f>IFERROR(MIN(G298,G299)/G299,1)</f>
        <v/>
      </c>
      <c r="H301" s="2">
        <f>IFERROR(MIN(H298,H299)/H299,1)</f>
        <v/>
      </c>
      <c r="I301" s="2">
        <f>IFERROR(MIN(I298,I299)/I299,1)</f>
        <v/>
      </c>
      <c r="J301" s="2">
        <f>IFERROR(MIN(J298,J299)/J299,1)</f>
        <v/>
      </c>
      <c r="K301" s="2">
        <f>IFERROR(MIN(K298,K299)/K299,1)</f>
        <v/>
      </c>
      <c r="L301" s="2">
        <f>IFERROR(MIN(L298,L299)/L299,1)</f>
        <v/>
      </c>
      <c r="M301" s="2">
        <f>IFERROR(MIN(M298,M299)/M299,1)</f>
        <v/>
      </c>
      <c r="N301" s="2">
        <f>IFERROR(MIN(N298,N299)/N299,1)</f>
        <v/>
      </c>
      <c r="O301" s="2">
        <f>IFERROR(MIN(O298,O299)/O299,1)</f>
        <v/>
      </c>
      <c r="P301" s="2">
        <f>IFERROR(MIN(P298,P299)/P299,1)</f>
        <v/>
      </c>
      <c r="Q301" s="2">
        <f>IFERROR(MIN(Q298,Q299)/Q299,1)</f>
        <v/>
      </c>
    </row>
    <row r="302">
      <c r="A302" t="inlineStr"/>
      <c r="B302" t="inlineStr"/>
      <c r="C302" t="inlineStr">
        <is>
          <t>DC</t>
        </is>
      </c>
      <c r="D302" t="inlineStr">
        <is>
          <t>ESTN%</t>
        </is>
      </c>
      <c r="E302" t="inlineStr"/>
      <c r="F302" s="2">
        <f>MAX(F298-F300,0)/F300</f>
        <v/>
      </c>
      <c r="G302" s="2">
        <f>MAX(G298-G300,0)/G300</f>
        <v/>
      </c>
      <c r="H302" s="2">
        <f>MAX(H298-H300,0)/H300</f>
        <v/>
      </c>
      <c r="I302" s="2">
        <f>MAX(I298-I300,0)/I300</f>
        <v/>
      </c>
      <c r="J302" s="2">
        <f>MAX(J298-J300,0)/J300</f>
        <v/>
      </c>
      <c r="K302" s="2">
        <f>MAX(K298-K300,0)/K300</f>
        <v/>
      </c>
      <c r="L302" s="2">
        <f>MAX(L298-L300,0)/L300</f>
        <v/>
      </c>
      <c r="M302" s="2">
        <f>MAX(M298-M300,0)/M300</f>
        <v/>
      </c>
      <c r="N302" s="2">
        <f>MAX(N298-N300,0)/N300</f>
        <v/>
      </c>
      <c r="O302" s="2">
        <f>MAX(O298-O300,0)/O300</f>
        <v/>
      </c>
      <c r="P302" s="2">
        <f>MAX(P298-P300,0)/P300</f>
        <v/>
      </c>
      <c r="Q302" s="2">
        <f>MAX(Q298-Q300,0)/Q300</f>
        <v/>
      </c>
    </row>
    <row r="303">
      <c r="A303" t="inlineStr"/>
      <c r="B303" t="inlineStr"/>
      <c r="C303" t="inlineStr">
        <is>
          <t>DC</t>
        </is>
      </c>
      <c r="D303" t="inlineStr">
        <is>
          <t>Shortage</t>
        </is>
      </c>
      <c r="E303" t="inlineStr">
        <is>
          <t>Inv</t>
        </is>
      </c>
      <c r="F303">
        <f>MAX(0,F299-F298)</f>
        <v/>
      </c>
      <c r="G303">
        <f>MAX(0,G299-G298)</f>
        <v/>
      </c>
      <c r="H303">
        <f>MAX(0,H299-H298)</f>
        <v/>
      </c>
      <c r="I303">
        <f>MAX(0,I299-I298)</f>
        <v/>
      </c>
      <c r="J303">
        <f>MAX(0,J299-J298)</f>
        <v/>
      </c>
      <c r="K303">
        <f>MAX(0,K299-K298)</f>
        <v/>
      </c>
      <c r="L303">
        <f>MAX(0,L299-L298)</f>
        <v/>
      </c>
      <c r="M303">
        <f>MAX(0,M299-M298)</f>
        <v/>
      </c>
      <c r="N303">
        <f>MAX(0,N299-N298)</f>
        <v/>
      </c>
      <c r="O303">
        <f>MAX(0,O299-O298)</f>
        <v/>
      </c>
      <c r="P303">
        <f>MAX(0,P299-P298)</f>
        <v/>
      </c>
      <c r="Q303">
        <f>MAX(0,Q299-Q298)</f>
        <v/>
      </c>
    </row>
    <row r="304">
      <c r="A304" t="inlineStr"/>
      <c r="B304" t="inlineStr"/>
      <c r="C304" t="inlineStr">
        <is>
          <t>DC</t>
        </is>
      </c>
      <c r="D304" t="inlineStr">
        <is>
          <t>Excess</t>
        </is>
      </c>
      <c r="E304" t="inlineStr">
        <is>
          <t>Inv</t>
        </is>
      </c>
      <c r="F304">
        <f>MAX(0,F298-F300)</f>
        <v/>
      </c>
      <c r="G304">
        <f>MAX(0,G298-G300)</f>
        <v/>
      </c>
      <c r="H304">
        <f>MAX(0,H298-H300)</f>
        <v/>
      </c>
      <c r="I304">
        <f>MAX(0,I298-I300)</f>
        <v/>
      </c>
      <c r="J304">
        <f>MAX(0,J298-J300)</f>
        <v/>
      </c>
      <c r="K304">
        <f>MAX(0,K298-K300)</f>
        <v/>
      </c>
      <c r="L304">
        <f>MAX(0,L298-L300)</f>
        <v/>
      </c>
      <c r="M304">
        <f>MAX(0,M298-M300)</f>
        <v/>
      </c>
      <c r="N304">
        <f>MAX(0,N298-N300)</f>
        <v/>
      </c>
      <c r="O304">
        <f>MAX(0,O298-O300)</f>
        <v/>
      </c>
      <c r="P304">
        <f>MAX(0,P298-P300)</f>
        <v/>
      </c>
      <c r="Q304">
        <f>MAX(0,Q298-Q300)</f>
        <v/>
      </c>
    </row>
    <row r="305">
      <c r="A305" t="inlineStr"/>
      <c r="B305" t="inlineStr"/>
      <c r="C305" t="inlineStr">
        <is>
          <t>DC</t>
        </is>
      </c>
      <c r="D305" t="inlineStr">
        <is>
          <t>Out of stock Value($)</t>
        </is>
      </c>
      <c r="E305" t="inlineStr">
        <is>
          <t>Val</t>
        </is>
      </c>
    </row>
    <row r="306">
      <c r="A306" t="inlineStr"/>
      <c r="B306" t="inlineStr"/>
      <c r="C306" t="inlineStr">
        <is>
          <t>DC</t>
        </is>
      </c>
      <c r="D306" t="inlineStr">
        <is>
          <t>Excess and over($)</t>
        </is>
      </c>
      <c r="E306" t="inlineStr">
        <is>
          <t>Val</t>
        </is>
      </c>
    </row>
    <row r="307"/>
    <row r="308">
      <c r="A308" t="inlineStr">
        <is>
          <t>SKU_0004</t>
        </is>
      </c>
      <c r="B308" t="inlineStr">
        <is>
          <t>DC5</t>
        </is>
      </c>
      <c r="C308" t="inlineStr">
        <is>
          <t>DC</t>
        </is>
      </c>
      <c r="D308" t="inlineStr">
        <is>
          <t>Start Inventory</t>
        </is>
      </c>
      <c r="E308" t="inlineStr">
        <is>
          <t>Inv</t>
        </is>
      </c>
      <c r="F308" t="n">
        <v>195</v>
      </c>
      <c r="G308">
        <f>F315</f>
        <v/>
      </c>
      <c r="H308">
        <f>G315</f>
        <v/>
      </c>
      <c r="I308">
        <f>H315</f>
        <v/>
      </c>
      <c r="J308">
        <f>I315</f>
        <v/>
      </c>
      <c r="K308">
        <f>J315</f>
        <v/>
      </c>
      <c r="L308">
        <f>K315</f>
        <v/>
      </c>
      <c r="M308">
        <f>L315</f>
        <v/>
      </c>
      <c r="N308">
        <f>M315</f>
        <v/>
      </c>
      <c r="O308">
        <f>N315</f>
        <v/>
      </c>
      <c r="P308">
        <f>O315</f>
        <v/>
      </c>
      <c r="Q308">
        <f>P315</f>
        <v/>
      </c>
    </row>
    <row r="309">
      <c r="A309" t="inlineStr"/>
      <c r="B309" t="inlineStr"/>
      <c r="C309" t="inlineStr">
        <is>
          <t>DC</t>
        </is>
      </c>
      <c r="D309" t="inlineStr">
        <is>
          <t>Total Forecast/Order</t>
        </is>
      </c>
      <c r="E309" t="inlineStr">
        <is>
          <t>Demand</t>
        </is>
      </c>
      <c r="F309" t="n">
        <v>12</v>
      </c>
      <c r="G309" t="n">
        <v>19</v>
      </c>
      <c r="H309" t="n">
        <v>18</v>
      </c>
      <c r="I309" t="n">
        <v>18</v>
      </c>
      <c r="J309" t="n">
        <v>14</v>
      </c>
      <c r="K309" t="n">
        <v>12</v>
      </c>
      <c r="L309" t="n">
        <v>12</v>
      </c>
      <c r="M309" t="n">
        <v>12</v>
      </c>
      <c r="N309" t="n">
        <v>13</v>
      </c>
      <c r="O309" t="n">
        <v>18</v>
      </c>
      <c r="P309" t="n">
        <v>14</v>
      </c>
      <c r="Q309" t="n">
        <v>18</v>
      </c>
    </row>
    <row r="310">
      <c r="A310" t="inlineStr"/>
      <c r="B310" t="inlineStr"/>
      <c r="C310" t="inlineStr">
        <is>
          <t>DC</t>
        </is>
      </c>
      <c r="D310" t="inlineStr">
        <is>
          <t>Start Backorder</t>
        </is>
      </c>
      <c r="E310" t="inlineStr">
        <is>
          <t>Demand</t>
        </is>
      </c>
      <c r="F310" t="n">
        <v>0</v>
      </c>
      <c r="G310">
        <f>F314</f>
        <v/>
      </c>
      <c r="H310">
        <f>G314</f>
        <v/>
      </c>
      <c r="I310">
        <f>H314</f>
        <v/>
      </c>
      <c r="J310">
        <f>I314</f>
        <v/>
      </c>
      <c r="K310">
        <f>J314</f>
        <v/>
      </c>
      <c r="L310">
        <f>K314</f>
        <v/>
      </c>
      <c r="M310">
        <f>L314</f>
        <v/>
      </c>
      <c r="N310">
        <f>M314</f>
        <v/>
      </c>
      <c r="O310">
        <f>N314</f>
        <v/>
      </c>
      <c r="P310">
        <f>O314</f>
        <v/>
      </c>
      <c r="Q310">
        <f>P314</f>
        <v/>
      </c>
    </row>
    <row r="311">
      <c r="A311" t="inlineStr"/>
      <c r="B311" t="inlineStr"/>
      <c r="C311" t="inlineStr">
        <is>
          <t>DC</t>
        </is>
      </c>
      <c r="D311" t="inlineStr">
        <is>
          <t>Total Demand</t>
        </is>
      </c>
      <c r="E311" t="inlineStr">
        <is>
          <t>Demand</t>
        </is>
      </c>
      <c r="F311">
        <f>F309+F310</f>
        <v/>
      </c>
      <c r="G311">
        <f>G309+G310</f>
        <v/>
      </c>
      <c r="H311">
        <f>H309+H310</f>
        <v/>
      </c>
      <c r="I311">
        <f>I309+I310</f>
        <v/>
      </c>
      <c r="J311">
        <f>J309+J310</f>
        <v/>
      </c>
      <c r="K311">
        <f>K309+K310</f>
        <v/>
      </c>
      <c r="L311">
        <f>L309+L310</f>
        <v/>
      </c>
      <c r="M311">
        <f>M309+M310</f>
        <v/>
      </c>
      <c r="N311">
        <f>N309+N310</f>
        <v/>
      </c>
      <c r="O311">
        <f>O309+O310</f>
        <v/>
      </c>
      <c r="P311">
        <f>P309+P310</f>
        <v/>
      </c>
      <c r="Q311">
        <f>Q309+Q310</f>
        <v/>
      </c>
    </row>
    <row r="312">
      <c r="A312" t="inlineStr"/>
      <c r="B312" t="inlineStr"/>
      <c r="C312" t="inlineStr">
        <is>
          <t>DC</t>
        </is>
      </c>
      <c r="D312" t="inlineStr">
        <is>
          <t>Dist. Receipt Planned</t>
        </is>
      </c>
      <c r="E312" t="inlineStr">
        <is>
          <t>Supply</t>
        </is>
      </c>
      <c r="F312" t="n">
        <v>36</v>
      </c>
      <c r="G312" t="n">
        <v>0</v>
      </c>
      <c r="H312" t="n">
        <v>0</v>
      </c>
      <c r="I312" t="n">
        <v>0</v>
      </c>
      <c r="J312" t="n">
        <v>0</v>
      </c>
      <c r="K312" t="n">
        <v>25</v>
      </c>
      <c r="L312" t="n">
        <v>0</v>
      </c>
      <c r="M312" t="n">
        <v>0</v>
      </c>
      <c r="N312" t="n">
        <v>0</v>
      </c>
      <c r="O312" t="n">
        <v>0</v>
      </c>
      <c r="P312" t="n">
        <v>0</v>
      </c>
      <c r="Q312" t="n">
        <v>0</v>
      </c>
    </row>
    <row r="313">
      <c r="A313" t="inlineStr"/>
      <c r="B313" t="inlineStr"/>
      <c r="C313" t="inlineStr">
        <is>
          <t>DC</t>
        </is>
      </c>
      <c r="D313" t="inlineStr">
        <is>
          <t>Total Supply</t>
        </is>
      </c>
      <c r="E313" t="inlineStr">
        <is>
          <t>Supply</t>
        </is>
      </c>
      <c r="F313">
        <f>F312</f>
        <v/>
      </c>
      <c r="G313">
        <f>G312</f>
        <v/>
      </c>
      <c r="H313">
        <f>H312</f>
        <v/>
      </c>
      <c r="I313">
        <f>I312</f>
        <v/>
      </c>
      <c r="J313">
        <f>J312</f>
        <v/>
      </c>
      <c r="K313">
        <f>K312</f>
        <v/>
      </c>
      <c r="L313">
        <f>L312</f>
        <v/>
      </c>
      <c r="M313">
        <f>M312</f>
        <v/>
      </c>
      <c r="N313">
        <f>N312</f>
        <v/>
      </c>
      <c r="O313">
        <f>O312</f>
        <v/>
      </c>
      <c r="P313">
        <f>P312</f>
        <v/>
      </c>
      <c r="Q313">
        <f>Q312</f>
        <v/>
      </c>
    </row>
    <row r="314">
      <c r="A314" t="inlineStr"/>
      <c r="B314" t="inlineStr"/>
      <c r="C314" t="inlineStr">
        <is>
          <t>DC</t>
        </is>
      </c>
      <c r="D314" t="inlineStr">
        <is>
          <t>End. Backorder</t>
        </is>
      </c>
      <c r="E314" t="inlineStr">
        <is>
          <t>Demand</t>
        </is>
      </c>
      <c r="F314">
        <f>-MIN(0,F308+F313-F311)</f>
        <v/>
      </c>
      <c r="G314">
        <f>-MIN(0,G308+G313-G311)</f>
        <v/>
      </c>
      <c r="H314">
        <f>-MIN(0,H308+H313-H311)</f>
        <v/>
      </c>
      <c r="I314">
        <f>-MIN(0,I308+I313-I311)</f>
        <v/>
      </c>
      <c r="J314">
        <f>-MIN(0,J308+J313-J311)</f>
        <v/>
      </c>
      <c r="K314">
        <f>-MIN(0,K308+K313-K311)</f>
        <v/>
      </c>
      <c r="L314">
        <f>-MIN(0,L308+L313-L311)</f>
        <v/>
      </c>
      <c r="M314">
        <f>-MIN(0,M308+M313-M311)</f>
        <v/>
      </c>
      <c r="N314">
        <f>-MIN(0,N308+N313-N311)</f>
        <v/>
      </c>
      <c r="O314">
        <f>-MIN(0,O308+O313-O311)</f>
        <v/>
      </c>
      <c r="P314">
        <f>-MIN(0,P308+P313-P311)</f>
        <v/>
      </c>
      <c r="Q314">
        <f>-MIN(0,Q308+Q313-Q311)</f>
        <v/>
      </c>
    </row>
    <row r="315">
      <c r="A315" t="inlineStr"/>
      <c r="B315" t="inlineStr"/>
      <c r="C315" t="inlineStr">
        <is>
          <t>DC</t>
        </is>
      </c>
      <c r="D315" t="inlineStr">
        <is>
          <t>End. Inventory</t>
        </is>
      </c>
      <c r="E315" t="inlineStr">
        <is>
          <t>Inv</t>
        </is>
      </c>
      <c r="F315">
        <f>MAX(F308+F313-F311,0)</f>
        <v/>
      </c>
      <c r="G315">
        <f>MAX(G308+G313-G311,0)</f>
        <v/>
      </c>
      <c r="H315">
        <f>MAX(H308+H313-H311,0)</f>
        <v/>
      </c>
      <c r="I315">
        <f>MAX(I308+I313-I311,0)</f>
        <v/>
      </c>
      <c r="J315">
        <f>MAX(J308+J313-J311,0)</f>
        <v/>
      </c>
      <c r="K315">
        <f>MAX(K308+K313-K311,0)</f>
        <v/>
      </c>
      <c r="L315">
        <f>MAX(L308+L313-L311,0)</f>
        <v/>
      </c>
      <c r="M315">
        <f>MAX(M308+M313-M311,0)</f>
        <v/>
      </c>
      <c r="N315">
        <f>MAX(N308+N313-N311,0)</f>
        <v/>
      </c>
      <c r="O315">
        <f>MAX(O308+O313-O311,0)</f>
        <v/>
      </c>
      <c r="P315">
        <f>MAX(P308+P313-P311,0)</f>
        <v/>
      </c>
      <c r="Q315">
        <f>MAX(Q308+Q313-Q311,0)</f>
        <v/>
      </c>
    </row>
    <row r="316">
      <c r="A316" t="inlineStr"/>
      <c r="B316" t="inlineStr"/>
      <c r="C316" t="inlineStr">
        <is>
          <t>DC</t>
        </is>
      </c>
      <c r="D316" t="inlineStr">
        <is>
          <t>MSTN Thresold</t>
        </is>
      </c>
      <c r="E316" t="inlineStr">
        <is>
          <t>Inv</t>
        </is>
      </c>
      <c r="F316" t="n">
        <v>59</v>
      </c>
      <c r="G316" t="n">
        <v>59</v>
      </c>
      <c r="H316" t="n">
        <v>59</v>
      </c>
      <c r="I316" t="n">
        <v>59</v>
      </c>
      <c r="J316" t="n">
        <v>59</v>
      </c>
      <c r="K316" t="n">
        <v>59</v>
      </c>
      <c r="L316" t="n">
        <v>59</v>
      </c>
      <c r="M316" t="n">
        <v>59</v>
      </c>
      <c r="N316" t="n">
        <v>59</v>
      </c>
      <c r="O316" t="n">
        <v>59</v>
      </c>
      <c r="P316" t="n">
        <v>59</v>
      </c>
      <c r="Q316" t="n">
        <v>59</v>
      </c>
    </row>
    <row r="317">
      <c r="A317" t="inlineStr"/>
      <c r="B317" t="inlineStr"/>
      <c r="C317" t="inlineStr">
        <is>
          <t>DC</t>
        </is>
      </c>
      <c r="D317" t="inlineStr">
        <is>
          <t>ESTN Thresold</t>
        </is>
      </c>
      <c r="E317" t="inlineStr">
        <is>
          <t>Inv</t>
        </is>
      </c>
      <c r="F317" t="n">
        <v>176</v>
      </c>
      <c r="G317" t="n">
        <v>176</v>
      </c>
      <c r="H317" t="n">
        <v>176</v>
      </c>
      <c r="I317" t="n">
        <v>176</v>
      </c>
      <c r="J317" t="n">
        <v>176</v>
      </c>
      <c r="K317" t="n">
        <v>176</v>
      </c>
      <c r="L317" t="n">
        <v>176</v>
      </c>
      <c r="M317" t="n">
        <v>176</v>
      </c>
      <c r="N317" t="n">
        <v>176</v>
      </c>
      <c r="O317" t="n">
        <v>176</v>
      </c>
      <c r="P317" t="n">
        <v>176</v>
      </c>
      <c r="Q317" t="n">
        <v>176</v>
      </c>
    </row>
    <row r="318">
      <c r="A318" t="inlineStr"/>
      <c r="B318" t="inlineStr"/>
      <c r="C318" t="inlineStr">
        <is>
          <t>DC</t>
        </is>
      </c>
      <c r="D318" t="inlineStr">
        <is>
          <t>MSTN%</t>
        </is>
      </c>
      <c r="E318" t="inlineStr"/>
      <c r="F318" s="2">
        <f>IFERROR(MIN(F315,F316)/F316,1)</f>
        <v/>
      </c>
      <c r="G318" s="2">
        <f>IFERROR(MIN(G315,G316)/G316,1)</f>
        <v/>
      </c>
      <c r="H318" s="2">
        <f>IFERROR(MIN(H315,H316)/H316,1)</f>
        <v/>
      </c>
      <c r="I318" s="2">
        <f>IFERROR(MIN(I315,I316)/I316,1)</f>
        <v/>
      </c>
      <c r="J318" s="2">
        <f>IFERROR(MIN(J315,J316)/J316,1)</f>
        <v/>
      </c>
      <c r="K318" s="2">
        <f>IFERROR(MIN(K315,K316)/K316,1)</f>
        <v/>
      </c>
      <c r="L318" s="2">
        <f>IFERROR(MIN(L315,L316)/L316,1)</f>
        <v/>
      </c>
      <c r="M318" s="2">
        <f>IFERROR(MIN(M315,M316)/M316,1)</f>
        <v/>
      </c>
      <c r="N318" s="2">
        <f>IFERROR(MIN(N315,N316)/N316,1)</f>
        <v/>
      </c>
      <c r="O318" s="2">
        <f>IFERROR(MIN(O315,O316)/O316,1)</f>
        <v/>
      </c>
      <c r="P318" s="2">
        <f>IFERROR(MIN(P315,P316)/P316,1)</f>
        <v/>
      </c>
      <c r="Q318" s="2">
        <f>IFERROR(MIN(Q315,Q316)/Q316,1)</f>
        <v/>
      </c>
    </row>
    <row r="319">
      <c r="A319" t="inlineStr"/>
      <c r="B319" t="inlineStr"/>
      <c r="C319" t="inlineStr">
        <is>
          <t>DC</t>
        </is>
      </c>
      <c r="D319" t="inlineStr">
        <is>
          <t>ESTN%</t>
        </is>
      </c>
      <c r="E319" t="inlineStr"/>
      <c r="F319" s="2">
        <f>MAX(F315-F317,0)/F317</f>
        <v/>
      </c>
      <c r="G319" s="2">
        <f>MAX(G315-G317,0)/G317</f>
        <v/>
      </c>
      <c r="H319" s="2">
        <f>MAX(H315-H317,0)/H317</f>
        <v/>
      </c>
      <c r="I319" s="2">
        <f>MAX(I315-I317,0)/I317</f>
        <v/>
      </c>
      <c r="J319" s="2">
        <f>MAX(J315-J317,0)/J317</f>
        <v/>
      </c>
      <c r="K319" s="2">
        <f>MAX(K315-K317,0)/K317</f>
        <v/>
      </c>
      <c r="L319" s="2">
        <f>MAX(L315-L317,0)/L317</f>
        <v/>
      </c>
      <c r="M319" s="2">
        <f>MAX(M315-M317,0)/M317</f>
        <v/>
      </c>
      <c r="N319" s="2">
        <f>MAX(N315-N317,0)/N317</f>
        <v/>
      </c>
      <c r="O319" s="2">
        <f>MAX(O315-O317,0)/O317</f>
        <v/>
      </c>
      <c r="P319" s="2">
        <f>MAX(P315-P317,0)/P317</f>
        <v/>
      </c>
      <c r="Q319" s="2">
        <f>MAX(Q315-Q317,0)/Q317</f>
        <v/>
      </c>
    </row>
    <row r="320">
      <c r="A320" t="inlineStr"/>
      <c r="B320" t="inlineStr"/>
      <c r="C320" t="inlineStr">
        <is>
          <t>DC</t>
        </is>
      </c>
      <c r="D320" t="inlineStr">
        <is>
          <t>Shortage</t>
        </is>
      </c>
      <c r="E320" t="inlineStr">
        <is>
          <t>Inv</t>
        </is>
      </c>
      <c r="F320">
        <f>MAX(0,F316-F315)</f>
        <v/>
      </c>
      <c r="G320">
        <f>MAX(0,G316-G315)</f>
        <v/>
      </c>
      <c r="H320">
        <f>MAX(0,H316-H315)</f>
        <v/>
      </c>
      <c r="I320">
        <f>MAX(0,I316-I315)</f>
        <v/>
      </c>
      <c r="J320">
        <f>MAX(0,J316-J315)</f>
        <v/>
      </c>
      <c r="K320">
        <f>MAX(0,K316-K315)</f>
        <v/>
      </c>
      <c r="L320">
        <f>MAX(0,L316-L315)</f>
        <v/>
      </c>
      <c r="M320">
        <f>MAX(0,M316-M315)</f>
        <v/>
      </c>
      <c r="N320">
        <f>MAX(0,N316-N315)</f>
        <v/>
      </c>
      <c r="O320">
        <f>MAX(0,O316-O315)</f>
        <v/>
      </c>
      <c r="P320">
        <f>MAX(0,P316-P315)</f>
        <v/>
      </c>
      <c r="Q320">
        <f>MAX(0,Q316-Q315)</f>
        <v/>
      </c>
    </row>
    <row r="321">
      <c r="A321" t="inlineStr"/>
      <c r="B321" t="inlineStr"/>
      <c r="C321" t="inlineStr">
        <is>
          <t>DC</t>
        </is>
      </c>
      <c r="D321" t="inlineStr">
        <is>
          <t>Excess</t>
        </is>
      </c>
      <c r="E321" t="inlineStr">
        <is>
          <t>Inv</t>
        </is>
      </c>
      <c r="F321">
        <f>MAX(0,F315-F317)</f>
        <v/>
      </c>
      <c r="G321">
        <f>MAX(0,G315-G317)</f>
        <v/>
      </c>
      <c r="H321">
        <f>MAX(0,H315-H317)</f>
        <v/>
      </c>
      <c r="I321">
        <f>MAX(0,I315-I317)</f>
        <v/>
      </c>
      <c r="J321">
        <f>MAX(0,J315-J317)</f>
        <v/>
      </c>
      <c r="K321">
        <f>MAX(0,K315-K317)</f>
        <v/>
      </c>
      <c r="L321">
        <f>MAX(0,L315-L317)</f>
        <v/>
      </c>
      <c r="M321">
        <f>MAX(0,M315-M317)</f>
        <v/>
      </c>
      <c r="N321">
        <f>MAX(0,N315-N317)</f>
        <v/>
      </c>
      <c r="O321">
        <f>MAX(0,O315-O317)</f>
        <v/>
      </c>
      <c r="P321">
        <f>MAX(0,P315-P317)</f>
        <v/>
      </c>
      <c r="Q321">
        <f>MAX(0,Q315-Q317)</f>
        <v/>
      </c>
    </row>
    <row r="322">
      <c r="A322" t="inlineStr"/>
      <c r="B322" t="inlineStr"/>
      <c r="C322" t="inlineStr">
        <is>
          <t>DC</t>
        </is>
      </c>
      <c r="D322" t="inlineStr">
        <is>
          <t>Out of stock Value($)</t>
        </is>
      </c>
      <c r="E322" t="inlineStr">
        <is>
          <t>Val</t>
        </is>
      </c>
    </row>
    <row r="323">
      <c r="A323" t="inlineStr"/>
      <c r="B323" t="inlineStr"/>
      <c r="C323" t="inlineStr">
        <is>
          <t>DC</t>
        </is>
      </c>
      <c r="D323" t="inlineStr">
        <is>
          <t>Excess and over($)</t>
        </is>
      </c>
      <c r="E323" t="inlineStr">
        <is>
          <t>Val</t>
        </is>
      </c>
    </row>
    <row r="324"/>
    <row r="325">
      <c r="A325" t="inlineStr">
        <is>
          <t>SKU_0004</t>
        </is>
      </c>
      <c r="B325" t="inlineStr">
        <is>
          <t>F1</t>
        </is>
      </c>
      <c r="C325" t="inlineStr">
        <is>
          <t>DC</t>
        </is>
      </c>
      <c r="D325" t="inlineStr">
        <is>
          <t>Start Inventory</t>
        </is>
      </c>
      <c r="E325" t="inlineStr">
        <is>
          <t>Inv</t>
        </is>
      </c>
      <c r="F325" t="n">
        <v>1662</v>
      </c>
      <c r="G325">
        <f>F332</f>
        <v/>
      </c>
      <c r="H325">
        <f>G332</f>
        <v/>
      </c>
      <c r="I325">
        <f>H332</f>
        <v/>
      </c>
      <c r="J325">
        <f>I332</f>
        <v/>
      </c>
      <c r="K325">
        <f>J332</f>
        <v/>
      </c>
      <c r="L325">
        <f>K332</f>
        <v/>
      </c>
      <c r="M325">
        <f>L332</f>
        <v/>
      </c>
      <c r="N325">
        <f>M332</f>
        <v/>
      </c>
      <c r="O325">
        <f>N332</f>
        <v/>
      </c>
      <c r="P325">
        <f>O332</f>
        <v/>
      </c>
      <c r="Q325">
        <f>P332</f>
        <v/>
      </c>
    </row>
    <row r="326">
      <c r="A326" t="inlineStr"/>
      <c r="B326" t="inlineStr"/>
      <c r="C326" t="inlineStr">
        <is>
          <t>DC</t>
        </is>
      </c>
      <c r="D326" t="inlineStr">
        <is>
          <t>Total Forecast/Order</t>
        </is>
      </c>
      <c r="E326" t="inlineStr">
        <is>
          <t>Demand</t>
        </is>
      </c>
      <c r="F326" t="n">
        <v>1062</v>
      </c>
      <c r="G326" t="n">
        <v>0</v>
      </c>
      <c r="H326" t="n">
        <v>812</v>
      </c>
      <c r="I326" t="n">
        <v>0</v>
      </c>
      <c r="J326" t="n">
        <v>995</v>
      </c>
      <c r="K326" t="n">
        <v>531</v>
      </c>
      <c r="L326" t="n">
        <v>720</v>
      </c>
      <c r="M326" t="n">
        <v>606</v>
      </c>
      <c r="N326" t="n">
        <v>704</v>
      </c>
      <c r="O326" t="n">
        <v>355</v>
      </c>
      <c r="P326" t="n">
        <v>170</v>
      </c>
      <c r="Q326" t="n">
        <v>0</v>
      </c>
    </row>
    <row r="327">
      <c r="A327" t="inlineStr"/>
      <c r="B327" t="inlineStr"/>
      <c r="C327" t="inlineStr">
        <is>
          <t>DC</t>
        </is>
      </c>
      <c r="D327" t="inlineStr">
        <is>
          <t>Start Backorder</t>
        </is>
      </c>
      <c r="E327" t="inlineStr">
        <is>
          <t>Demand</t>
        </is>
      </c>
      <c r="F327" t="n">
        <v>0</v>
      </c>
      <c r="G327">
        <f>F331</f>
        <v/>
      </c>
      <c r="H327">
        <f>G331</f>
        <v/>
      </c>
      <c r="I327">
        <f>H331</f>
        <v/>
      </c>
      <c r="J327">
        <f>I331</f>
        <v/>
      </c>
      <c r="K327">
        <f>J331</f>
        <v/>
      </c>
      <c r="L327">
        <f>K331</f>
        <v/>
      </c>
      <c r="M327">
        <f>L331</f>
        <v/>
      </c>
      <c r="N327">
        <f>M331</f>
        <v/>
      </c>
      <c r="O327">
        <f>N331</f>
        <v/>
      </c>
      <c r="P327">
        <f>O331</f>
        <v/>
      </c>
      <c r="Q327">
        <f>P331</f>
        <v/>
      </c>
    </row>
    <row r="328">
      <c r="A328" t="inlineStr"/>
      <c r="B328" t="inlineStr"/>
      <c r="C328" t="inlineStr">
        <is>
          <t>DC</t>
        </is>
      </c>
      <c r="D328" t="inlineStr">
        <is>
          <t>Total Demand</t>
        </is>
      </c>
      <c r="E328" t="inlineStr">
        <is>
          <t>Demand</t>
        </is>
      </c>
      <c r="F328">
        <f>F326+F327</f>
        <v/>
      </c>
      <c r="G328">
        <f>G326+G327</f>
        <v/>
      </c>
      <c r="H328">
        <f>H326+H327</f>
        <v/>
      </c>
      <c r="I328">
        <f>I326+I327</f>
        <v/>
      </c>
      <c r="J328">
        <f>J326+J327</f>
        <v/>
      </c>
      <c r="K328">
        <f>K326+K327</f>
        <v/>
      </c>
      <c r="L328">
        <f>L326+L327</f>
        <v/>
      </c>
      <c r="M328">
        <f>M326+M327</f>
        <v/>
      </c>
      <c r="N328">
        <f>N326+N327</f>
        <v/>
      </c>
      <c r="O328">
        <f>O326+O327</f>
        <v/>
      </c>
      <c r="P328">
        <f>P326+P327</f>
        <v/>
      </c>
      <c r="Q328">
        <f>Q326+Q327</f>
        <v/>
      </c>
    </row>
    <row r="329">
      <c r="A329" t="inlineStr"/>
      <c r="B329" t="inlineStr"/>
      <c r="C329" t="inlineStr">
        <is>
          <t>DC</t>
        </is>
      </c>
      <c r="D329" t="inlineStr">
        <is>
          <t>Dist. Receipt Planned</t>
        </is>
      </c>
      <c r="E329" t="inlineStr">
        <is>
          <t>Supply</t>
        </is>
      </c>
      <c r="F329" t="n">
        <v>0</v>
      </c>
      <c r="G329" t="n">
        <v>0</v>
      </c>
      <c r="H329" t="n">
        <v>1230</v>
      </c>
      <c r="I329" t="n">
        <v>1154</v>
      </c>
      <c r="J329" t="n">
        <v>0</v>
      </c>
      <c r="K329" t="n">
        <v>0</v>
      </c>
      <c r="L329" t="n">
        <v>0</v>
      </c>
      <c r="M329" t="n">
        <v>0</v>
      </c>
      <c r="N329" t="n">
        <v>1403</v>
      </c>
      <c r="O329" t="n">
        <v>0</v>
      </c>
      <c r="P329" t="n">
        <v>1226</v>
      </c>
      <c r="Q329" t="n">
        <v>842</v>
      </c>
    </row>
    <row r="330">
      <c r="A330" t="inlineStr"/>
      <c r="B330" t="inlineStr"/>
      <c r="C330" t="inlineStr">
        <is>
          <t>DC</t>
        </is>
      </c>
      <c r="D330" t="inlineStr">
        <is>
          <t>Total Supply</t>
        </is>
      </c>
      <c r="E330" t="inlineStr">
        <is>
          <t>Supply</t>
        </is>
      </c>
      <c r="F330">
        <f>F329</f>
        <v/>
      </c>
      <c r="G330">
        <f>G329</f>
        <v/>
      </c>
      <c r="H330">
        <f>H329</f>
        <v/>
      </c>
      <c r="I330">
        <f>I329</f>
        <v/>
      </c>
      <c r="J330">
        <f>J329</f>
        <v/>
      </c>
      <c r="K330">
        <f>K329</f>
        <v/>
      </c>
      <c r="L330">
        <f>L329</f>
        <v/>
      </c>
      <c r="M330">
        <f>M329</f>
        <v/>
      </c>
      <c r="N330">
        <f>N329</f>
        <v/>
      </c>
      <c r="O330">
        <f>O329</f>
        <v/>
      </c>
      <c r="P330">
        <f>P329</f>
        <v/>
      </c>
      <c r="Q330">
        <f>Q329</f>
        <v/>
      </c>
    </row>
    <row r="331">
      <c r="A331" t="inlineStr"/>
      <c r="B331" t="inlineStr"/>
      <c r="C331" t="inlineStr">
        <is>
          <t>DC</t>
        </is>
      </c>
      <c r="D331" t="inlineStr">
        <is>
          <t>End. Backorder</t>
        </is>
      </c>
      <c r="E331" t="inlineStr">
        <is>
          <t>Demand</t>
        </is>
      </c>
      <c r="F331">
        <f>-MIN(0,F325+F330-F328)</f>
        <v/>
      </c>
      <c r="G331">
        <f>-MIN(0,G325+G330-G328)</f>
        <v/>
      </c>
      <c r="H331">
        <f>-MIN(0,H325+H330-H328)</f>
        <v/>
      </c>
      <c r="I331">
        <f>-MIN(0,I325+I330-I328)</f>
        <v/>
      </c>
      <c r="J331">
        <f>-MIN(0,J325+J330-J328)</f>
        <v/>
      </c>
      <c r="K331">
        <f>-MIN(0,K325+K330-K328)</f>
        <v/>
      </c>
      <c r="L331">
        <f>-MIN(0,L325+L330-L328)</f>
        <v/>
      </c>
      <c r="M331">
        <f>-MIN(0,M325+M330-M328)</f>
        <v/>
      </c>
      <c r="N331">
        <f>-MIN(0,N325+N330-N328)</f>
        <v/>
      </c>
      <c r="O331">
        <f>-MIN(0,O325+O330-O328)</f>
        <v/>
      </c>
      <c r="P331">
        <f>-MIN(0,P325+P330-P328)</f>
        <v/>
      </c>
      <c r="Q331">
        <f>-MIN(0,Q325+Q330-Q328)</f>
        <v/>
      </c>
    </row>
    <row r="332">
      <c r="A332" t="inlineStr"/>
      <c r="B332" t="inlineStr"/>
      <c r="C332" t="inlineStr">
        <is>
          <t>DC</t>
        </is>
      </c>
      <c r="D332" t="inlineStr">
        <is>
          <t>End. Inventory</t>
        </is>
      </c>
      <c r="E332" t="inlineStr">
        <is>
          <t>Inv</t>
        </is>
      </c>
      <c r="F332">
        <f>MAX(F325+F330-F328,0)</f>
        <v/>
      </c>
      <c r="G332">
        <f>MAX(G325+G330-G328,0)</f>
        <v/>
      </c>
      <c r="H332">
        <f>MAX(H325+H330-H328,0)</f>
        <v/>
      </c>
      <c r="I332">
        <f>MAX(I325+I330-I328,0)</f>
        <v/>
      </c>
      <c r="J332">
        <f>MAX(J325+J330-J328,0)</f>
        <v/>
      </c>
      <c r="K332">
        <f>MAX(K325+K330-K328,0)</f>
        <v/>
      </c>
      <c r="L332">
        <f>MAX(L325+L330-L328,0)</f>
        <v/>
      </c>
      <c r="M332">
        <f>MAX(M325+M330-M328,0)</f>
        <v/>
      </c>
      <c r="N332">
        <f>MAX(N325+N330-N328,0)</f>
        <v/>
      </c>
      <c r="O332">
        <f>MAX(O325+O330-O328,0)</f>
        <v/>
      </c>
      <c r="P332">
        <f>MAX(P325+P330-P328,0)</f>
        <v/>
      </c>
      <c r="Q332">
        <f>MAX(Q325+Q330-Q328,0)</f>
        <v/>
      </c>
    </row>
    <row r="333">
      <c r="A333" t="inlineStr"/>
      <c r="B333" t="inlineStr"/>
      <c r="C333" t="inlineStr">
        <is>
          <t>DC</t>
        </is>
      </c>
      <c r="D333" t="inlineStr">
        <is>
          <t>MSTN Thresold</t>
        </is>
      </c>
      <c r="E333" t="inlineStr">
        <is>
          <t>Inv</t>
        </is>
      </c>
      <c r="F333" t="n">
        <v>1543</v>
      </c>
      <c r="G333" t="n">
        <v>1543</v>
      </c>
      <c r="H333" t="n">
        <v>1543</v>
      </c>
      <c r="I333" t="n">
        <v>1543</v>
      </c>
      <c r="J333" t="n">
        <v>1543</v>
      </c>
      <c r="K333" t="n">
        <v>1543</v>
      </c>
      <c r="L333" t="n">
        <v>1543</v>
      </c>
      <c r="M333" t="n">
        <v>1543</v>
      </c>
      <c r="N333" t="n">
        <v>1543</v>
      </c>
      <c r="O333" t="n">
        <v>1543</v>
      </c>
      <c r="P333" t="n">
        <v>1543</v>
      </c>
      <c r="Q333" t="n">
        <v>1543</v>
      </c>
    </row>
    <row r="334">
      <c r="A334" t="inlineStr"/>
      <c r="B334" t="inlineStr"/>
      <c r="C334" t="inlineStr">
        <is>
          <t>DC</t>
        </is>
      </c>
      <c r="D334" t="inlineStr">
        <is>
          <t>ESTN Thresold</t>
        </is>
      </c>
      <c r="E334" t="inlineStr">
        <is>
          <t>Inv</t>
        </is>
      </c>
      <c r="F334" t="n">
        <v>4777</v>
      </c>
      <c r="G334" t="n">
        <v>4777</v>
      </c>
      <c r="H334" t="n">
        <v>4777</v>
      </c>
      <c r="I334" t="n">
        <v>4777</v>
      </c>
      <c r="J334" t="n">
        <v>4777</v>
      </c>
      <c r="K334" t="n">
        <v>4777</v>
      </c>
      <c r="L334" t="n">
        <v>4777</v>
      </c>
      <c r="M334" t="n">
        <v>4777</v>
      </c>
      <c r="N334" t="n">
        <v>4777</v>
      </c>
      <c r="O334" t="n">
        <v>4777</v>
      </c>
      <c r="P334" t="n">
        <v>4777</v>
      </c>
      <c r="Q334" t="n">
        <v>4777</v>
      </c>
    </row>
    <row r="335">
      <c r="A335" t="inlineStr"/>
      <c r="B335" t="inlineStr"/>
      <c r="C335" t="inlineStr">
        <is>
          <t>DC</t>
        </is>
      </c>
      <c r="D335" t="inlineStr">
        <is>
          <t>MSTN%</t>
        </is>
      </c>
      <c r="E335" t="inlineStr"/>
      <c r="F335" s="2">
        <f>IFERROR(MIN(F332,F333)/F333,1)</f>
        <v/>
      </c>
      <c r="G335" s="2">
        <f>IFERROR(MIN(G332,G333)/G333,1)</f>
        <v/>
      </c>
      <c r="H335" s="2">
        <f>IFERROR(MIN(H332,H333)/H333,1)</f>
        <v/>
      </c>
      <c r="I335" s="2">
        <f>IFERROR(MIN(I332,I333)/I333,1)</f>
        <v/>
      </c>
      <c r="J335" s="2">
        <f>IFERROR(MIN(J332,J333)/J333,1)</f>
        <v/>
      </c>
      <c r="K335" s="2">
        <f>IFERROR(MIN(K332,K333)/K333,1)</f>
        <v/>
      </c>
      <c r="L335" s="2">
        <f>IFERROR(MIN(L332,L333)/L333,1)</f>
        <v/>
      </c>
      <c r="M335" s="2">
        <f>IFERROR(MIN(M332,M333)/M333,1)</f>
        <v/>
      </c>
      <c r="N335" s="2">
        <f>IFERROR(MIN(N332,N333)/N333,1)</f>
        <v/>
      </c>
      <c r="O335" s="2">
        <f>IFERROR(MIN(O332,O333)/O333,1)</f>
        <v/>
      </c>
      <c r="P335" s="2">
        <f>IFERROR(MIN(P332,P333)/P333,1)</f>
        <v/>
      </c>
      <c r="Q335" s="2">
        <f>IFERROR(MIN(Q332,Q333)/Q333,1)</f>
        <v/>
      </c>
    </row>
    <row r="336">
      <c r="A336" t="inlineStr"/>
      <c r="B336" t="inlineStr"/>
      <c r="C336" t="inlineStr">
        <is>
          <t>DC</t>
        </is>
      </c>
      <c r="D336" t="inlineStr">
        <is>
          <t>ESTN%</t>
        </is>
      </c>
      <c r="E336" t="inlineStr"/>
      <c r="F336" s="2">
        <f>MAX(F332-F334,0)/F334</f>
        <v/>
      </c>
      <c r="G336" s="2">
        <f>MAX(G332-G334,0)/G334</f>
        <v/>
      </c>
      <c r="H336" s="2">
        <f>MAX(H332-H334,0)/H334</f>
        <v/>
      </c>
      <c r="I336" s="2">
        <f>MAX(I332-I334,0)/I334</f>
        <v/>
      </c>
      <c r="J336" s="2">
        <f>MAX(J332-J334,0)/J334</f>
        <v/>
      </c>
      <c r="K336" s="2">
        <f>MAX(K332-K334,0)/K334</f>
        <v/>
      </c>
      <c r="L336" s="2">
        <f>MAX(L332-L334,0)/L334</f>
        <v/>
      </c>
      <c r="M336" s="2">
        <f>MAX(M332-M334,0)/M334</f>
        <v/>
      </c>
      <c r="N336" s="2">
        <f>MAX(N332-N334,0)/N334</f>
        <v/>
      </c>
      <c r="O336" s="2">
        <f>MAX(O332-O334,0)/O334</f>
        <v/>
      </c>
      <c r="P336" s="2">
        <f>MAX(P332-P334,0)/P334</f>
        <v/>
      </c>
      <c r="Q336" s="2">
        <f>MAX(Q332-Q334,0)/Q334</f>
        <v/>
      </c>
    </row>
    <row r="337">
      <c r="A337" t="inlineStr"/>
      <c r="B337" t="inlineStr"/>
      <c r="C337" t="inlineStr">
        <is>
          <t>DC</t>
        </is>
      </c>
      <c r="D337" t="inlineStr">
        <is>
          <t>Shortage</t>
        </is>
      </c>
      <c r="E337" t="inlineStr">
        <is>
          <t>Inv</t>
        </is>
      </c>
      <c r="F337">
        <f>MAX(0,F333-F332)</f>
        <v/>
      </c>
      <c r="G337">
        <f>MAX(0,G333-G332)</f>
        <v/>
      </c>
      <c r="H337">
        <f>MAX(0,H333-H332)</f>
        <v/>
      </c>
      <c r="I337">
        <f>MAX(0,I333-I332)</f>
        <v/>
      </c>
      <c r="J337">
        <f>MAX(0,J333-J332)</f>
        <v/>
      </c>
      <c r="K337">
        <f>MAX(0,K333-K332)</f>
        <v/>
      </c>
      <c r="L337">
        <f>MAX(0,L333-L332)</f>
        <v/>
      </c>
      <c r="M337">
        <f>MAX(0,M333-M332)</f>
        <v/>
      </c>
      <c r="N337">
        <f>MAX(0,N333-N332)</f>
        <v/>
      </c>
      <c r="O337">
        <f>MAX(0,O333-O332)</f>
        <v/>
      </c>
      <c r="P337">
        <f>MAX(0,P333-P332)</f>
        <v/>
      </c>
      <c r="Q337">
        <f>MAX(0,Q333-Q332)</f>
        <v/>
      </c>
    </row>
    <row r="338">
      <c r="A338" t="inlineStr"/>
      <c r="B338" t="inlineStr"/>
      <c r="C338" t="inlineStr">
        <is>
          <t>DC</t>
        </is>
      </c>
      <c r="D338" t="inlineStr">
        <is>
          <t>Excess</t>
        </is>
      </c>
      <c r="E338" t="inlineStr">
        <is>
          <t>Inv</t>
        </is>
      </c>
      <c r="F338">
        <f>MAX(0,F332-F334)</f>
        <v/>
      </c>
      <c r="G338">
        <f>MAX(0,G332-G334)</f>
        <v/>
      </c>
      <c r="H338">
        <f>MAX(0,H332-H334)</f>
        <v/>
      </c>
      <c r="I338">
        <f>MAX(0,I332-I334)</f>
        <v/>
      </c>
      <c r="J338">
        <f>MAX(0,J332-J334)</f>
        <v/>
      </c>
      <c r="K338">
        <f>MAX(0,K332-K334)</f>
        <v/>
      </c>
      <c r="L338">
        <f>MAX(0,L332-L334)</f>
        <v/>
      </c>
      <c r="M338">
        <f>MAX(0,M332-M334)</f>
        <v/>
      </c>
      <c r="N338">
        <f>MAX(0,N332-N334)</f>
        <v/>
      </c>
      <c r="O338">
        <f>MAX(0,O332-O334)</f>
        <v/>
      </c>
      <c r="P338">
        <f>MAX(0,P332-P334)</f>
        <v/>
      </c>
      <c r="Q338">
        <f>MAX(0,Q332-Q334)</f>
        <v/>
      </c>
    </row>
    <row r="339">
      <c r="A339" t="inlineStr"/>
      <c r="B339" t="inlineStr"/>
      <c r="C339" t="inlineStr">
        <is>
          <t>DC</t>
        </is>
      </c>
      <c r="D339" t="inlineStr">
        <is>
          <t>Out of stock Value($)</t>
        </is>
      </c>
      <c r="E339" t="inlineStr">
        <is>
          <t>Val</t>
        </is>
      </c>
    </row>
    <row r="340">
      <c r="A340" t="inlineStr"/>
      <c r="B340" t="inlineStr"/>
      <c r="C340" t="inlineStr">
        <is>
          <t>DC</t>
        </is>
      </c>
      <c r="D340" t="inlineStr">
        <is>
          <t>Excess and over($)</t>
        </is>
      </c>
      <c r="E340" t="inlineStr">
        <is>
          <t>Val</t>
        </is>
      </c>
    </row>
    <row r="341"/>
    <row r="342">
      <c r="A342" t="inlineStr">
        <is>
          <t>SKU_0005</t>
        </is>
      </c>
      <c r="B342" t="inlineStr">
        <is>
          <t>DC1</t>
        </is>
      </c>
      <c r="C342" t="inlineStr">
        <is>
          <t>DC</t>
        </is>
      </c>
      <c r="D342" t="inlineStr">
        <is>
          <t>Start Inventory</t>
        </is>
      </c>
      <c r="E342" t="inlineStr">
        <is>
          <t>Inv</t>
        </is>
      </c>
      <c r="F342" t="n">
        <v>577</v>
      </c>
      <c r="G342">
        <f>F349</f>
        <v/>
      </c>
      <c r="H342">
        <f>G349</f>
        <v/>
      </c>
      <c r="I342">
        <f>H349</f>
        <v/>
      </c>
      <c r="J342">
        <f>I349</f>
        <v/>
      </c>
      <c r="K342">
        <f>J349</f>
        <v/>
      </c>
      <c r="L342">
        <f>K349</f>
        <v/>
      </c>
      <c r="M342">
        <f>L349</f>
        <v/>
      </c>
      <c r="N342">
        <f>M349</f>
        <v/>
      </c>
      <c r="O342">
        <f>N349</f>
        <v/>
      </c>
      <c r="P342">
        <f>O349</f>
        <v/>
      </c>
      <c r="Q342">
        <f>P349</f>
        <v/>
      </c>
    </row>
    <row r="343">
      <c r="A343" t="inlineStr"/>
      <c r="B343" t="inlineStr"/>
      <c r="C343" t="inlineStr">
        <is>
          <t>DC</t>
        </is>
      </c>
      <c r="D343" t="inlineStr">
        <is>
          <t>Total Forecast/Order</t>
        </is>
      </c>
      <c r="E343" t="inlineStr">
        <is>
          <t>Demand</t>
        </is>
      </c>
      <c r="F343" t="n">
        <v>93</v>
      </c>
      <c r="G343" t="n">
        <v>65</v>
      </c>
      <c r="H343" t="n">
        <v>108</v>
      </c>
      <c r="I343" t="n">
        <v>87</v>
      </c>
      <c r="J343" t="n">
        <v>80</v>
      </c>
      <c r="K343" t="n">
        <v>83</v>
      </c>
      <c r="L343" t="n">
        <v>85</v>
      </c>
      <c r="M343" t="n">
        <v>80</v>
      </c>
      <c r="N343" t="n">
        <v>93</v>
      </c>
      <c r="O343" t="n">
        <v>104</v>
      </c>
      <c r="P343" t="n">
        <v>101</v>
      </c>
      <c r="Q343" t="n">
        <v>89</v>
      </c>
    </row>
    <row r="344">
      <c r="A344" t="inlineStr"/>
      <c r="B344" t="inlineStr"/>
      <c r="C344" t="inlineStr">
        <is>
          <t>DC</t>
        </is>
      </c>
      <c r="D344" t="inlineStr">
        <is>
          <t>Start Backorder</t>
        </is>
      </c>
      <c r="E344" t="inlineStr">
        <is>
          <t>Demand</t>
        </is>
      </c>
      <c r="F344" t="n">
        <v>0</v>
      </c>
      <c r="G344">
        <f>F348</f>
        <v/>
      </c>
      <c r="H344">
        <f>G348</f>
        <v/>
      </c>
      <c r="I344">
        <f>H348</f>
        <v/>
      </c>
      <c r="J344">
        <f>I348</f>
        <v/>
      </c>
      <c r="K344">
        <f>J348</f>
        <v/>
      </c>
      <c r="L344">
        <f>K348</f>
        <v/>
      </c>
      <c r="M344">
        <f>L348</f>
        <v/>
      </c>
      <c r="N344">
        <f>M348</f>
        <v/>
      </c>
      <c r="O344">
        <f>N348</f>
        <v/>
      </c>
      <c r="P344">
        <f>O348</f>
        <v/>
      </c>
      <c r="Q344">
        <f>P348</f>
        <v/>
      </c>
    </row>
    <row r="345">
      <c r="A345" t="inlineStr"/>
      <c r="B345" t="inlineStr"/>
      <c r="C345" t="inlineStr">
        <is>
          <t>DC</t>
        </is>
      </c>
      <c r="D345" t="inlineStr">
        <is>
          <t>Total Demand</t>
        </is>
      </c>
      <c r="E345" t="inlineStr">
        <is>
          <t>Demand</t>
        </is>
      </c>
      <c r="F345">
        <f>F343+F344</f>
        <v/>
      </c>
      <c r="G345">
        <f>G343+G344</f>
        <v/>
      </c>
      <c r="H345">
        <f>H343+H344</f>
        <v/>
      </c>
      <c r="I345">
        <f>I343+I344</f>
        <v/>
      </c>
      <c r="J345">
        <f>J343+J344</f>
        <v/>
      </c>
      <c r="K345">
        <f>K343+K344</f>
        <v/>
      </c>
      <c r="L345">
        <f>L343+L344</f>
        <v/>
      </c>
      <c r="M345">
        <f>M343+M344</f>
        <v/>
      </c>
      <c r="N345">
        <f>N343+N344</f>
        <v/>
      </c>
      <c r="O345">
        <f>O343+O344</f>
        <v/>
      </c>
      <c r="P345">
        <f>P343+P344</f>
        <v/>
      </c>
      <c r="Q345">
        <f>Q343+Q344</f>
        <v/>
      </c>
    </row>
    <row r="346">
      <c r="A346" t="inlineStr"/>
      <c r="B346" t="inlineStr"/>
      <c r="C346" t="inlineStr">
        <is>
          <t>DC</t>
        </is>
      </c>
      <c r="D346" t="inlineStr">
        <is>
          <t>Dist. Receipt Planned</t>
        </is>
      </c>
      <c r="E346" t="inlineStr">
        <is>
          <t>Supply</t>
        </is>
      </c>
      <c r="F346" t="n">
        <v>0</v>
      </c>
      <c r="G346" t="n">
        <v>681</v>
      </c>
      <c r="H346" t="n">
        <v>0</v>
      </c>
      <c r="I346" t="n">
        <v>0</v>
      </c>
      <c r="J346" t="n">
        <v>225</v>
      </c>
      <c r="K346" t="n">
        <v>610</v>
      </c>
      <c r="L346" t="n">
        <v>0</v>
      </c>
      <c r="M346" t="n">
        <v>575</v>
      </c>
      <c r="N346" t="n">
        <v>135</v>
      </c>
      <c r="O346" t="n">
        <v>0</v>
      </c>
      <c r="P346" t="n">
        <v>0</v>
      </c>
      <c r="Q346" t="n">
        <v>0</v>
      </c>
    </row>
    <row r="347">
      <c r="A347" t="inlineStr"/>
      <c r="B347" t="inlineStr"/>
      <c r="C347" t="inlineStr">
        <is>
          <t>DC</t>
        </is>
      </c>
      <c r="D347" t="inlineStr">
        <is>
          <t>Total Supply</t>
        </is>
      </c>
      <c r="E347" t="inlineStr">
        <is>
          <t>Supply</t>
        </is>
      </c>
      <c r="F347">
        <f>F346</f>
        <v/>
      </c>
      <c r="G347">
        <f>G346</f>
        <v/>
      </c>
      <c r="H347">
        <f>H346</f>
        <v/>
      </c>
      <c r="I347">
        <f>I346</f>
        <v/>
      </c>
      <c r="J347">
        <f>J346</f>
        <v/>
      </c>
      <c r="K347">
        <f>K346</f>
        <v/>
      </c>
      <c r="L347">
        <f>L346</f>
        <v/>
      </c>
      <c r="M347">
        <f>M346</f>
        <v/>
      </c>
      <c r="N347">
        <f>N346</f>
        <v/>
      </c>
      <c r="O347">
        <f>O346</f>
        <v/>
      </c>
      <c r="P347">
        <f>P346</f>
        <v/>
      </c>
      <c r="Q347">
        <f>Q346</f>
        <v/>
      </c>
    </row>
    <row r="348">
      <c r="A348" t="inlineStr"/>
      <c r="B348" t="inlineStr"/>
      <c r="C348" t="inlineStr">
        <is>
          <t>DC</t>
        </is>
      </c>
      <c r="D348" t="inlineStr">
        <is>
          <t>End. Backorder</t>
        </is>
      </c>
      <c r="E348" t="inlineStr">
        <is>
          <t>Demand</t>
        </is>
      </c>
      <c r="F348">
        <f>-MIN(0,F342+F347-F345)</f>
        <v/>
      </c>
      <c r="G348">
        <f>-MIN(0,G342+G347-G345)</f>
        <v/>
      </c>
      <c r="H348">
        <f>-MIN(0,H342+H347-H345)</f>
        <v/>
      </c>
      <c r="I348">
        <f>-MIN(0,I342+I347-I345)</f>
        <v/>
      </c>
      <c r="J348">
        <f>-MIN(0,J342+J347-J345)</f>
        <v/>
      </c>
      <c r="K348">
        <f>-MIN(0,K342+K347-K345)</f>
        <v/>
      </c>
      <c r="L348">
        <f>-MIN(0,L342+L347-L345)</f>
        <v/>
      </c>
      <c r="M348">
        <f>-MIN(0,M342+M347-M345)</f>
        <v/>
      </c>
      <c r="N348">
        <f>-MIN(0,N342+N347-N345)</f>
        <v/>
      </c>
      <c r="O348">
        <f>-MIN(0,O342+O347-O345)</f>
        <v/>
      </c>
      <c r="P348">
        <f>-MIN(0,P342+P347-P345)</f>
        <v/>
      </c>
      <c r="Q348">
        <f>-MIN(0,Q342+Q347-Q345)</f>
        <v/>
      </c>
    </row>
    <row r="349">
      <c r="A349" t="inlineStr"/>
      <c r="B349" t="inlineStr"/>
      <c r="C349" t="inlineStr">
        <is>
          <t>DC</t>
        </is>
      </c>
      <c r="D349" t="inlineStr">
        <is>
          <t>End. Inventory</t>
        </is>
      </c>
      <c r="E349" t="inlineStr">
        <is>
          <t>Inv</t>
        </is>
      </c>
      <c r="F349">
        <f>MAX(F342+F347-F345,0)</f>
        <v/>
      </c>
      <c r="G349">
        <f>MAX(G342+G347-G345,0)</f>
        <v/>
      </c>
      <c r="H349">
        <f>MAX(H342+H347-H345,0)</f>
        <v/>
      </c>
      <c r="I349">
        <f>MAX(I342+I347-I345,0)</f>
        <v/>
      </c>
      <c r="J349">
        <f>MAX(J342+J347-J345,0)</f>
        <v/>
      </c>
      <c r="K349">
        <f>MAX(K342+K347-K345,0)</f>
        <v/>
      </c>
      <c r="L349">
        <f>MAX(L342+L347-L345,0)</f>
        <v/>
      </c>
      <c r="M349">
        <f>MAX(M342+M347-M345,0)</f>
        <v/>
      </c>
      <c r="N349">
        <f>MAX(N342+N347-N345,0)</f>
        <v/>
      </c>
      <c r="O349">
        <f>MAX(O342+O347-O345,0)</f>
        <v/>
      </c>
      <c r="P349">
        <f>MAX(P342+P347-P345,0)</f>
        <v/>
      </c>
      <c r="Q349">
        <f>MAX(Q342+Q347-Q345,0)</f>
        <v/>
      </c>
    </row>
    <row r="350">
      <c r="A350" t="inlineStr"/>
      <c r="B350" t="inlineStr"/>
      <c r="C350" t="inlineStr">
        <is>
          <t>DC</t>
        </is>
      </c>
      <c r="D350" t="inlineStr">
        <is>
          <t>MSTN Thresold</t>
        </is>
      </c>
      <c r="E350" t="inlineStr">
        <is>
          <t>Inv</t>
        </is>
      </c>
      <c r="F350" t="n">
        <v>354</v>
      </c>
      <c r="G350" t="n">
        <v>354</v>
      </c>
      <c r="H350" t="n">
        <v>354</v>
      </c>
      <c r="I350" t="n">
        <v>354</v>
      </c>
      <c r="J350" t="n">
        <v>354</v>
      </c>
      <c r="K350" t="n">
        <v>354</v>
      </c>
      <c r="L350" t="n">
        <v>354</v>
      </c>
      <c r="M350" t="n">
        <v>354</v>
      </c>
      <c r="N350" t="n">
        <v>354</v>
      </c>
      <c r="O350" t="n">
        <v>354</v>
      </c>
      <c r="P350" t="n">
        <v>354</v>
      </c>
      <c r="Q350" t="n">
        <v>354</v>
      </c>
    </row>
    <row r="351">
      <c r="A351" t="inlineStr"/>
      <c r="B351" t="inlineStr"/>
      <c r="C351" t="inlineStr">
        <is>
          <t>DC</t>
        </is>
      </c>
      <c r="D351" t="inlineStr">
        <is>
          <t>ESTN Thresold</t>
        </is>
      </c>
      <c r="E351" t="inlineStr">
        <is>
          <t>Inv</t>
        </is>
      </c>
      <c r="F351" t="n">
        <v>804</v>
      </c>
      <c r="G351" t="n">
        <v>804</v>
      </c>
      <c r="H351" t="n">
        <v>804</v>
      </c>
      <c r="I351" t="n">
        <v>804</v>
      </c>
      <c r="J351" t="n">
        <v>804</v>
      </c>
      <c r="K351" t="n">
        <v>804</v>
      </c>
      <c r="L351" t="n">
        <v>804</v>
      </c>
      <c r="M351" t="n">
        <v>804</v>
      </c>
      <c r="N351" t="n">
        <v>804</v>
      </c>
      <c r="O351" t="n">
        <v>804</v>
      </c>
      <c r="P351" t="n">
        <v>804</v>
      </c>
      <c r="Q351" t="n">
        <v>804</v>
      </c>
    </row>
    <row r="352">
      <c r="A352" t="inlineStr"/>
      <c r="B352" t="inlineStr"/>
      <c r="C352" t="inlineStr">
        <is>
          <t>DC</t>
        </is>
      </c>
      <c r="D352" t="inlineStr">
        <is>
          <t>MSTN%</t>
        </is>
      </c>
      <c r="E352" t="inlineStr"/>
      <c r="F352" s="2">
        <f>IFERROR(MIN(F349,F350)/F350,1)</f>
        <v/>
      </c>
      <c r="G352" s="2">
        <f>IFERROR(MIN(G349,G350)/G350,1)</f>
        <v/>
      </c>
      <c r="H352" s="2">
        <f>IFERROR(MIN(H349,H350)/H350,1)</f>
        <v/>
      </c>
      <c r="I352" s="2">
        <f>IFERROR(MIN(I349,I350)/I350,1)</f>
        <v/>
      </c>
      <c r="J352" s="2">
        <f>IFERROR(MIN(J349,J350)/J350,1)</f>
        <v/>
      </c>
      <c r="K352" s="2">
        <f>IFERROR(MIN(K349,K350)/K350,1)</f>
        <v/>
      </c>
      <c r="L352" s="2">
        <f>IFERROR(MIN(L349,L350)/L350,1)</f>
        <v/>
      </c>
      <c r="M352" s="2">
        <f>IFERROR(MIN(M349,M350)/M350,1)</f>
        <v/>
      </c>
      <c r="N352" s="2">
        <f>IFERROR(MIN(N349,N350)/N350,1)</f>
        <v/>
      </c>
      <c r="O352" s="2">
        <f>IFERROR(MIN(O349,O350)/O350,1)</f>
        <v/>
      </c>
      <c r="P352" s="2">
        <f>IFERROR(MIN(P349,P350)/P350,1)</f>
        <v/>
      </c>
      <c r="Q352" s="2">
        <f>IFERROR(MIN(Q349,Q350)/Q350,1)</f>
        <v/>
      </c>
    </row>
    <row r="353">
      <c r="A353" t="inlineStr"/>
      <c r="B353" t="inlineStr"/>
      <c r="C353" t="inlineStr">
        <is>
          <t>DC</t>
        </is>
      </c>
      <c r="D353" t="inlineStr">
        <is>
          <t>ESTN%</t>
        </is>
      </c>
      <c r="E353" t="inlineStr"/>
      <c r="F353" s="2">
        <f>MAX(F349-F351,0)/F351</f>
        <v/>
      </c>
      <c r="G353" s="2">
        <f>MAX(G349-G351,0)/G351</f>
        <v/>
      </c>
      <c r="H353" s="2">
        <f>MAX(H349-H351,0)/H351</f>
        <v/>
      </c>
      <c r="I353" s="2">
        <f>MAX(I349-I351,0)/I351</f>
        <v/>
      </c>
      <c r="J353" s="2">
        <f>MAX(J349-J351,0)/J351</f>
        <v/>
      </c>
      <c r="K353" s="2">
        <f>MAX(K349-K351,0)/K351</f>
        <v/>
      </c>
      <c r="L353" s="2">
        <f>MAX(L349-L351,0)/L351</f>
        <v/>
      </c>
      <c r="M353" s="2">
        <f>MAX(M349-M351,0)/M351</f>
        <v/>
      </c>
      <c r="N353" s="2">
        <f>MAX(N349-N351,0)/N351</f>
        <v/>
      </c>
      <c r="O353" s="2">
        <f>MAX(O349-O351,0)/O351</f>
        <v/>
      </c>
      <c r="P353" s="2">
        <f>MAX(P349-P351,0)/P351</f>
        <v/>
      </c>
      <c r="Q353" s="2">
        <f>MAX(Q349-Q351,0)/Q351</f>
        <v/>
      </c>
    </row>
    <row r="354">
      <c r="A354" t="inlineStr"/>
      <c r="B354" t="inlineStr"/>
      <c r="C354" t="inlineStr">
        <is>
          <t>DC</t>
        </is>
      </c>
      <c r="D354" t="inlineStr">
        <is>
          <t>Shortage</t>
        </is>
      </c>
      <c r="E354" t="inlineStr">
        <is>
          <t>Inv</t>
        </is>
      </c>
      <c r="F354">
        <f>MAX(0,F350-F349)</f>
        <v/>
      </c>
      <c r="G354">
        <f>MAX(0,G350-G349)</f>
        <v/>
      </c>
      <c r="H354">
        <f>MAX(0,H350-H349)</f>
        <v/>
      </c>
      <c r="I354">
        <f>MAX(0,I350-I349)</f>
        <v/>
      </c>
      <c r="J354">
        <f>MAX(0,J350-J349)</f>
        <v/>
      </c>
      <c r="K354">
        <f>MAX(0,K350-K349)</f>
        <v/>
      </c>
      <c r="L354">
        <f>MAX(0,L350-L349)</f>
        <v/>
      </c>
      <c r="M354">
        <f>MAX(0,M350-M349)</f>
        <v/>
      </c>
      <c r="N354">
        <f>MAX(0,N350-N349)</f>
        <v/>
      </c>
      <c r="O354">
        <f>MAX(0,O350-O349)</f>
        <v/>
      </c>
      <c r="P354">
        <f>MAX(0,P350-P349)</f>
        <v/>
      </c>
      <c r="Q354">
        <f>MAX(0,Q350-Q349)</f>
        <v/>
      </c>
    </row>
    <row r="355">
      <c r="A355" t="inlineStr"/>
      <c r="B355" t="inlineStr"/>
      <c r="C355" t="inlineStr">
        <is>
          <t>DC</t>
        </is>
      </c>
      <c r="D355" t="inlineStr">
        <is>
          <t>Excess</t>
        </is>
      </c>
      <c r="E355" t="inlineStr">
        <is>
          <t>Inv</t>
        </is>
      </c>
      <c r="F355">
        <f>MAX(0,F349-F351)</f>
        <v/>
      </c>
      <c r="G355">
        <f>MAX(0,G349-G351)</f>
        <v/>
      </c>
      <c r="H355">
        <f>MAX(0,H349-H351)</f>
        <v/>
      </c>
      <c r="I355">
        <f>MAX(0,I349-I351)</f>
        <v/>
      </c>
      <c r="J355">
        <f>MAX(0,J349-J351)</f>
        <v/>
      </c>
      <c r="K355">
        <f>MAX(0,K349-K351)</f>
        <v/>
      </c>
      <c r="L355">
        <f>MAX(0,L349-L351)</f>
        <v/>
      </c>
      <c r="M355">
        <f>MAX(0,M349-M351)</f>
        <v/>
      </c>
      <c r="N355">
        <f>MAX(0,N349-N351)</f>
        <v/>
      </c>
      <c r="O355">
        <f>MAX(0,O349-O351)</f>
        <v/>
      </c>
      <c r="P355">
        <f>MAX(0,P349-P351)</f>
        <v/>
      </c>
      <c r="Q355">
        <f>MAX(0,Q349-Q351)</f>
        <v/>
      </c>
    </row>
    <row r="356">
      <c r="A356" t="inlineStr"/>
      <c r="B356" t="inlineStr"/>
      <c r="C356" t="inlineStr">
        <is>
          <t>DC</t>
        </is>
      </c>
      <c r="D356" t="inlineStr">
        <is>
          <t>Out of stock Value($)</t>
        </is>
      </c>
      <c r="E356" t="inlineStr">
        <is>
          <t>Val</t>
        </is>
      </c>
    </row>
    <row r="357">
      <c r="A357" t="inlineStr"/>
      <c r="B357" t="inlineStr"/>
      <c r="C357" t="inlineStr">
        <is>
          <t>DC</t>
        </is>
      </c>
      <c r="D357" t="inlineStr">
        <is>
          <t>Excess and over($)</t>
        </is>
      </c>
      <c r="E357" t="inlineStr">
        <is>
          <t>Val</t>
        </is>
      </c>
    </row>
    <row r="358"/>
    <row r="359">
      <c r="A359" t="inlineStr">
        <is>
          <t>SKU_0005</t>
        </is>
      </c>
      <c r="B359" t="inlineStr">
        <is>
          <t>DC2</t>
        </is>
      </c>
      <c r="C359" t="inlineStr">
        <is>
          <t>DC</t>
        </is>
      </c>
      <c r="D359" t="inlineStr">
        <is>
          <t>Start Inventory</t>
        </is>
      </c>
      <c r="E359" t="inlineStr">
        <is>
          <t>Inv</t>
        </is>
      </c>
      <c r="F359" t="n">
        <v>111</v>
      </c>
      <c r="G359">
        <f>F366</f>
        <v/>
      </c>
      <c r="H359">
        <f>G366</f>
        <v/>
      </c>
      <c r="I359">
        <f>H366</f>
        <v/>
      </c>
      <c r="J359">
        <f>I366</f>
        <v/>
      </c>
      <c r="K359">
        <f>J366</f>
        <v/>
      </c>
      <c r="L359">
        <f>K366</f>
        <v/>
      </c>
      <c r="M359">
        <f>L366</f>
        <v/>
      </c>
      <c r="N359">
        <f>M366</f>
        <v/>
      </c>
      <c r="O359">
        <f>N366</f>
        <v/>
      </c>
      <c r="P359">
        <f>O366</f>
        <v/>
      </c>
      <c r="Q359">
        <f>P366</f>
        <v/>
      </c>
    </row>
    <row r="360">
      <c r="A360" t="inlineStr"/>
      <c r="B360" t="inlineStr"/>
      <c r="C360" t="inlineStr">
        <is>
          <t>DC</t>
        </is>
      </c>
      <c r="D360" t="inlineStr">
        <is>
          <t>Total Forecast/Order</t>
        </is>
      </c>
      <c r="E360" t="inlineStr">
        <is>
          <t>Demand</t>
        </is>
      </c>
      <c r="F360" t="n">
        <v>13</v>
      </c>
      <c r="G360" t="n">
        <v>7</v>
      </c>
      <c r="H360" t="n">
        <v>10</v>
      </c>
      <c r="I360" t="n">
        <v>9</v>
      </c>
      <c r="J360" t="n">
        <v>9</v>
      </c>
      <c r="K360" t="n">
        <v>11</v>
      </c>
      <c r="L360" t="n">
        <v>22</v>
      </c>
      <c r="M360" t="n">
        <v>13</v>
      </c>
      <c r="N360" t="n">
        <v>18</v>
      </c>
      <c r="O360" t="n">
        <v>20</v>
      </c>
      <c r="P360" t="n">
        <v>13</v>
      </c>
      <c r="Q360" t="n">
        <v>18</v>
      </c>
    </row>
    <row r="361">
      <c r="A361" t="inlineStr"/>
      <c r="B361" t="inlineStr"/>
      <c r="C361" t="inlineStr">
        <is>
          <t>DC</t>
        </is>
      </c>
      <c r="D361" t="inlineStr">
        <is>
          <t>Start Backorder</t>
        </is>
      </c>
      <c r="E361" t="inlineStr">
        <is>
          <t>Demand</t>
        </is>
      </c>
      <c r="F361" t="n">
        <v>0</v>
      </c>
      <c r="G361">
        <f>F365</f>
        <v/>
      </c>
      <c r="H361">
        <f>G365</f>
        <v/>
      </c>
      <c r="I361">
        <f>H365</f>
        <v/>
      </c>
      <c r="J361">
        <f>I365</f>
        <v/>
      </c>
      <c r="K361">
        <f>J365</f>
        <v/>
      </c>
      <c r="L361">
        <f>K365</f>
        <v/>
      </c>
      <c r="M361">
        <f>L365</f>
        <v/>
      </c>
      <c r="N361">
        <f>M365</f>
        <v/>
      </c>
      <c r="O361">
        <f>N365</f>
        <v/>
      </c>
      <c r="P361">
        <f>O365</f>
        <v/>
      </c>
      <c r="Q361">
        <f>P365</f>
        <v/>
      </c>
    </row>
    <row r="362">
      <c r="A362" t="inlineStr"/>
      <c r="B362" t="inlineStr"/>
      <c r="C362" t="inlineStr">
        <is>
          <t>DC</t>
        </is>
      </c>
      <c r="D362" t="inlineStr">
        <is>
          <t>Total Demand</t>
        </is>
      </c>
      <c r="E362" t="inlineStr">
        <is>
          <t>Demand</t>
        </is>
      </c>
      <c r="F362">
        <f>F360+F361</f>
        <v/>
      </c>
      <c r="G362">
        <f>G360+G361</f>
        <v/>
      </c>
      <c r="H362">
        <f>H360+H361</f>
        <v/>
      </c>
      <c r="I362">
        <f>I360+I361</f>
        <v/>
      </c>
      <c r="J362">
        <f>J360+J361</f>
        <v/>
      </c>
      <c r="K362">
        <f>K360+K361</f>
        <v/>
      </c>
      <c r="L362">
        <f>L360+L361</f>
        <v/>
      </c>
      <c r="M362">
        <f>M360+M361</f>
        <v/>
      </c>
      <c r="N362">
        <f>N360+N361</f>
        <v/>
      </c>
      <c r="O362">
        <f>O360+O361</f>
        <v/>
      </c>
      <c r="P362">
        <f>P360+P361</f>
        <v/>
      </c>
      <c r="Q362">
        <f>Q360+Q361</f>
        <v/>
      </c>
    </row>
    <row r="363">
      <c r="A363" t="inlineStr"/>
      <c r="B363" t="inlineStr"/>
      <c r="C363" t="inlineStr">
        <is>
          <t>DC</t>
        </is>
      </c>
      <c r="D363" t="inlineStr">
        <is>
          <t>Dist. Receipt Planned</t>
        </is>
      </c>
      <c r="E363" t="inlineStr">
        <is>
          <t>Supply</t>
        </is>
      </c>
      <c r="F363" t="n">
        <v>0</v>
      </c>
      <c r="G363" t="n">
        <v>0</v>
      </c>
      <c r="H363" t="n">
        <v>0</v>
      </c>
      <c r="I363" t="n">
        <v>0</v>
      </c>
      <c r="J363" t="n">
        <v>0</v>
      </c>
      <c r="K363" t="n">
        <v>0</v>
      </c>
      <c r="L363" t="n">
        <v>45</v>
      </c>
      <c r="M363" t="n">
        <v>44</v>
      </c>
      <c r="N363" t="n">
        <v>0</v>
      </c>
      <c r="O363" t="n">
        <v>27</v>
      </c>
      <c r="P363" t="n">
        <v>45</v>
      </c>
      <c r="Q363" t="n">
        <v>0</v>
      </c>
    </row>
    <row r="364">
      <c r="A364" t="inlineStr"/>
      <c r="B364" t="inlineStr"/>
      <c r="C364" t="inlineStr">
        <is>
          <t>DC</t>
        </is>
      </c>
      <c r="D364" t="inlineStr">
        <is>
          <t>Total Supply</t>
        </is>
      </c>
      <c r="E364" t="inlineStr">
        <is>
          <t>Supply</t>
        </is>
      </c>
      <c r="F364">
        <f>F363</f>
        <v/>
      </c>
      <c r="G364">
        <f>G363</f>
        <v/>
      </c>
      <c r="H364">
        <f>H363</f>
        <v/>
      </c>
      <c r="I364">
        <f>I363</f>
        <v/>
      </c>
      <c r="J364">
        <f>J363</f>
        <v/>
      </c>
      <c r="K364">
        <f>K363</f>
        <v/>
      </c>
      <c r="L364">
        <f>L363</f>
        <v/>
      </c>
      <c r="M364">
        <f>M363</f>
        <v/>
      </c>
      <c r="N364">
        <f>N363</f>
        <v/>
      </c>
      <c r="O364">
        <f>O363</f>
        <v/>
      </c>
      <c r="P364">
        <f>P363</f>
        <v/>
      </c>
      <c r="Q364">
        <f>Q363</f>
        <v/>
      </c>
    </row>
    <row r="365">
      <c r="A365" t="inlineStr"/>
      <c r="B365" t="inlineStr"/>
      <c r="C365" t="inlineStr">
        <is>
          <t>DC</t>
        </is>
      </c>
      <c r="D365" t="inlineStr">
        <is>
          <t>End. Backorder</t>
        </is>
      </c>
      <c r="E365" t="inlineStr">
        <is>
          <t>Demand</t>
        </is>
      </c>
      <c r="F365">
        <f>-MIN(0,F359+F364-F362)</f>
        <v/>
      </c>
      <c r="G365">
        <f>-MIN(0,G359+G364-G362)</f>
        <v/>
      </c>
      <c r="H365">
        <f>-MIN(0,H359+H364-H362)</f>
        <v/>
      </c>
      <c r="I365">
        <f>-MIN(0,I359+I364-I362)</f>
        <v/>
      </c>
      <c r="J365">
        <f>-MIN(0,J359+J364-J362)</f>
        <v/>
      </c>
      <c r="K365">
        <f>-MIN(0,K359+K364-K362)</f>
        <v/>
      </c>
      <c r="L365">
        <f>-MIN(0,L359+L364-L362)</f>
        <v/>
      </c>
      <c r="M365">
        <f>-MIN(0,M359+M364-M362)</f>
        <v/>
      </c>
      <c r="N365">
        <f>-MIN(0,N359+N364-N362)</f>
        <v/>
      </c>
      <c r="O365">
        <f>-MIN(0,O359+O364-O362)</f>
        <v/>
      </c>
      <c r="P365">
        <f>-MIN(0,P359+P364-P362)</f>
        <v/>
      </c>
      <c r="Q365">
        <f>-MIN(0,Q359+Q364-Q362)</f>
        <v/>
      </c>
    </row>
    <row r="366">
      <c r="A366" t="inlineStr"/>
      <c r="B366" t="inlineStr"/>
      <c r="C366" t="inlineStr">
        <is>
          <t>DC</t>
        </is>
      </c>
      <c r="D366" t="inlineStr">
        <is>
          <t>End. Inventory</t>
        </is>
      </c>
      <c r="E366" t="inlineStr">
        <is>
          <t>Inv</t>
        </is>
      </c>
      <c r="F366">
        <f>MAX(F359+F364-F362,0)</f>
        <v/>
      </c>
      <c r="G366">
        <f>MAX(G359+G364-G362,0)</f>
        <v/>
      </c>
      <c r="H366">
        <f>MAX(H359+H364-H362,0)</f>
        <v/>
      </c>
      <c r="I366">
        <f>MAX(I359+I364-I362,0)</f>
        <v/>
      </c>
      <c r="J366">
        <f>MAX(J359+J364-J362,0)</f>
        <v/>
      </c>
      <c r="K366">
        <f>MAX(K359+K364-K362,0)</f>
        <v/>
      </c>
      <c r="L366">
        <f>MAX(L359+L364-L362,0)</f>
        <v/>
      </c>
      <c r="M366">
        <f>MAX(M359+M364-M362,0)</f>
        <v/>
      </c>
      <c r="N366">
        <f>MAX(N359+N364-N362,0)</f>
        <v/>
      </c>
      <c r="O366">
        <f>MAX(O359+O364-O362,0)</f>
        <v/>
      </c>
      <c r="P366">
        <f>MAX(P359+P364-P362,0)</f>
        <v/>
      </c>
      <c r="Q366">
        <f>MAX(Q359+Q364-Q362,0)</f>
        <v/>
      </c>
    </row>
    <row r="367">
      <c r="A367" t="inlineStr"/>
      <c r="B367" t="inlineStr"/>
      <c r="C367" t="inlineStr">
        <is>
          <t>DC</t>
        </is>
      </c>
      <c r="D367" t="inlineStr">
        <is>
          <t>MSTN Thresold</t>
        </is>
      </c>
      <c r="E367" t="inlineStr">
        <is>
          <t>Inv</t>
        </is>
      </c>
      <c r="F367" t="n">
        <v>61</v>
      </c>
      <c r="G367" t="n">
        <v>61</v>
      </c>
      <c r="H367" t="n">
        <v>61</v>
      </c>
      <c r="I367" t="n">
        <v>61</v>
      </c>
      <c r="J367" t="n">
        <v>61</v>
      </c>
      <c r="K367" t="n">
        <v>61</v>
      </c>
      <c r="L367" t="n">
        <v>61</v>
      </c>
      <c r="M367" t="n">
        <v>61</v>
      </c>
      <c r="N367" t="n">
        <v>61</v>
      </c>
      <c r="O367" t="n">
        <v>61</v>
      </c>
      <c r="P367" t="n">
        <v>61</v>
      </c>
      <c r="Q367" t="n">
        <v>61</v>
      </c>
    </row>
    <row r="368">
      <c r="A368" t="inlineStr"/>
      <c r="B368" t="inlineStr"/>
      <c r="C368" t="inlineStr">
        <is>
          <t>DC</t>
        </is>
      </c>
      <c r="D368" t="inlineStr">
        <is>
          <t>ESTN Thresold</t>
        </is>
      </c>
      <c r="E368" t="inlineStr">
        <is>
          <t>Inv</t>
        </is>
      </c>
      <c r="F368" t="n">
        <v>188</v>
      </c>
      <c r="G368" t="n">
        <v>188</v>
      </c>
      <c r="H368" t="n">
        <v>188</v>
      </c>
      <c r="I368" t="n">
        <v>188</v>
      </c>
      <c r="J368" t="n">
        <v>188</v>
      </c>
      <c r="K368" t="n">
        <v>188</v>
      </c>
      <c r="L368" t="n">
        <v>188</v>
      </c>
      <c r="M368" t="n">
        <v>188</v>
      </c>
      <c r="N368" t="n">
        <v>188</v>
      </c>
      <c r="O368" t="n">
        <v>188</v>
      </c>
      <c r="P368" t="n">
        <v>188</v>
      </c>
      <c r="Q368" t="n">
        <v>188</v>
      </c>
    </row>
    <row r="369">
      <c r="A369" t="inlineStr"/>
      <c r="B369" t="inlineStr"/>
      <c r="C369" t="inlineStr">
        <is>
          <t>DC</t>
        </is>
      </c>
      <c r="D369" t="inlineStr">
        <is>
          <t>MSTN%</t>
        </is>
      </c>
      <c r="E369" t="inlineStr"/>
      <c r="F369" s="2">
        <f>IFERROR(MIN(F366,F367)/F367,1)</f>
        <v/>
      </c>
      <c r="G369" s="2">
        <f>IFERROR(MIN(G366,G367)/G367,1)</f>
        <v/>
      </c>
      <c r="H369" s="2">
        <f>IFERROR(MIN(H366,H367)/H367,1)</f>
        <v/>
      </c>
      <c r="I369" s="2">
        <f>IFERROR(MIN(I366,I367)/I367,1)</f>
        <v/>
      </c>
      <c r="J369" s="2">
        <f>IFERROR(MIN(J366,J367)/J367,1)</f>
        <v/>
      </c>
      <c r="K369" s="2">
        <f>IFERROR(MIN(K366,K367)/K367,1)</f>
        <v/>
      </c>
      <c r="L369" s="2">
        <f>IFERROR(MIN(L366,L367)/L367,1)</f>
        <v/>
      </c>
      <c r="M369" s="2">
        <f>IFERROR(MIN(M366,M367)/M367,1)</f>
        <v/>
      </c>
      <c r="N369" s="2">
        <f>IFERROR(MIN(N366,N367)/N367,1)</f>
        <v/>
      </c>
      <c r="O369" s="2">
        <f>IFERROR(MIN(O366,O367)/O367,1)</f>
        <v/>
      </c>
      <c r="P369" s="2">
        <f>IFERROR(MIN(P366,P367)/P367,1)</f>
        <v/>
      </c>
      <c r="Q369" s="2">
        <f>IFERROR(MIN(Q366,Q367)/Q367,1)</f>
        <v/>
      </c>
    </row>
    <row r="370">
      <c r="A370" t="inlineStr"/>
      <c r="B370" t="inlineStr"/>
      <c r="C370" t="inlineStr">
        <is>
          <t>DC</t>
        </is>
      </c>
      <c r="D370" t="inlineStr">
        <is>
          <t>ESTN%</t>
        </is>
      </c>
      <c r="E370" t="inlineStr"/>
      <c r="F370" s="2">
        <f>MAX(F366-F368,0)/F368</f>
        <v/>
      </c>
      <c r="G370" s="2">
        <f>MAX(G366-G368,0)/G368</f>
        <v/>
      </c>
      <c r="H370" s="2">
        <f>MAX(H366-H368,0)/H368</f>
        <v/>
      </c>
      <c r="I370" s="2">
        <f>MAX(I366-I368,0)/I368</f>
        <v/>
      </c>
      <c r="J370" s="2">
        <f>MAX(J366-J368,0)/J368</f>
        <v/>
      </c>
      <c r="K370" s="2">
        <f>MAX(K366-K368,0)/K368</f>
        <v/>
      </c>
      <c r="L370" s="2">
        <f>MAX(L366-L368,0)/L368</f>
        <v/>
      </c>
      <c r="M370" s="2">
        <f>MAX(M366-M368,0)/M368</f>
        <v/>
      </c>
      <c r="N370" s="2">
        <f>MAX(N366-N368,0)/N368</f>
        <v/>
      </c>
      <c r="O370" s="2">
        <f>MAX(O366-O368,0)/O368</f>
        <v/>
      </c>
      <c r="P370" s="2">
        <f>MAX(P366-P368,0)/P368</f>
        <v/>
      </c>
      <c r="Q370" s="2">
        <f>MAX(Q366-Q368,0)/Q368</f>
        <v/>
      </c>
    </row>
    <row r="371">
      <c r="A371" t="inlineStr"/>
      <c r="B371" t="inlineStr"/>
      <c r="C371" t="inlineStr">
        <is>
          <t>DC</t>
        </is>
      </c>
      <c r="D371" t="inlineStr">
        <is>
          <t>Shortage</t>
        </is>
      </c>
      <c r="E371" t="inlineStr">
        <is>
          <t>Inv</t>
        </is>
      </c>
      <c r="F371">
        <f>MAX(0,F367-F366)</f>
        <v/>
      </c>
      <c r="G371">
        <f>MAX(0,G367-G366)</f>
        <v/>
      </c>
      <c r="H371">
        <f>MAX(0,H367-H366)</f>
        <v/>
      </c>
      <c r="I371">
        <f>MAX(0,I367-I366)</f>
        <v/>
      </c>
      <c r="J371">
        <f>MAX(0,J367-J366)</f>
        <v/>
      </c>
      <c r="K371">
        <f>MAX(0,K367-K366)</f>
        <v/>
      </c>
      <c r="L371">
        <f>MAX(0,L367-L366)</f>
        <v/>
      </c>
      <c r="M371">
        <f>MAX(0,M367-M366)</f>
        <v/>
      </c>
      <c r="N371">
        <f>MAX(0,N367-N366)</f>
        <v/>
      </c>
      <c r="O371">
        <f>MAX(0,O367-O366)</f>
        <v/>
      </c>
      <c r="P371">
        <f>MAX(0,P367-P366)</f>
        <v/>
      </c>
      <c r="Q371">
        <f>MAX(0,Q367-Q366)</f>
        <v/>
      </c>
    </row>
    <row r="372">
      <c r="A372" t="inlineStr"/>
      <c r="B372" t="inlineStr"/>
      <c r="C372" t="inlineStr">
        <is>
          <t>DC</t>
        </is>
      </c>
      <c r="D372" t="inlineStr">
        <is>
          <t>Excess</t>
        </is>
      </c>
      <c r="E372" t="inlineStr">
        <is>
          <t>Inv</t>
        </is>
      </c>
      <c r="F372">
        <f>MAX(0,F366-F368)</f>
        <v/>
      </c>
      <c r="G372">
        <f>MAX(0,G366-G368)</f>
        <v/>
      </c>
      <c r="H372">
        <f>MAX(0,H366-H368)</f>
        <v/>
      </c>
      <c r="I372">
        <f>MAX(0,I366-I368)</f>
        <v/>
      </c>
      <c r="J372">
        <f>MAX(0,J366-J368)</f>
        <v/>
      </c>
      <c r="K372">
        <f>MAX(0,K366-K368)</f>
        <v/>
      </c>
      <c r="L372">
        <f>MAX(0,L366-L368)</f>
        <v/>
      </c>
      <c r="M372">
        <f>MAX(0,M366-M368)</f>
        <v/>
      </c>
      <c r="N372">
        <f>MAX(0,N366-N368)</f>
        <v/>
      </c>
      <c r="O372">
        <f>MAX(0,O366-O368)</f>
        <v/>
      </c>
      <c r="P372">
        <f>MAX(0,P366-P368)</f>
        <v/>
      </c>
      <c r="Q372">
        <f>MAX(0,Q366-Q368)</f>
        <v/>
      </c>
    </row>
    <row r="373">
      <c r="A373" t="inlineStr"/>
      <c r="B373" t="inlineStr"/>
      <c r="C373" t="inlineStr">
        <is>
          <t>DC</t>
        </is>
      </c>
      <c r="D373" t="inlineStr">
        <is>
          <t>Out of stock Value($)</t>
        </is>
      </c>
      <c r="E373" t="inlineStr">
        <is>
          <t>Val</t>
        </is>
      </c>
    </row>
    <row r="374">
      <c r="A374" t="inlineStr"/>
      <c r="B374" t="inlineStr"/>
      <c r="C374" t="inlineStr">
        <is>
          <t>DC</t>
        </is>
      </c>
      <c r="D374" t="inlineStr">
        <is>
          <t>Excess and over($)</t>
        </is>
      </c>
      <c r="E374" t="inlineStr">
        <is>
          <t>Val</t>
        </is>
      </c>
    </row>
    <row r="375"/>
    <row r="376">
      <c r="A376" t="inlineStr">
        <is>
          <t>SKU_0005</t>
        </is>
      </c>
      <c r="B376" t="inlineStr">
        <is>
          <t>DC4</t>
        </is>
      </c>
      <c r="C376" t="inlineStr">
        <is>
          <t>DC</t>
        </is>
      </c>
      <c r="D376" t="inlineStr">
        <is>
          <t>Start Inventory</t>
        </is>
      </c>
      <c r="E376" t="inlineStr">
        <is>
          <t>Inv</t>
        </is>
      </c>
      <c r="F376" t="n">
        <v>215</v>
      </c>
      <c r="G376">
        <f>F383</f>
        <v/>
      </c>
      <c r="H376">
        <f>G383</f>
        <v/>
      </c>
      <c r="I376">
        <f>H383</f>
        <v/>
      </c>
      <c r="J376">
        <f>I383</f>
        <v/>
      </c>
      <c r="K376">
        <f>J383</f>
        <v/>
      </c>
      <c r="L376">
        <f>K383</f>
        <v/>
      </c>
      <c r="M376">
        <f>L383</f>
        <v/>
      </c>
      <c r="N376">
        <f>M383</f>
        <v/>
      </c>
      <c r="O376">
        <f>N383</f>
        <v/>
      </c>
      <c r="P376">
        <f>O383</f>
        <v/>
      </c>
      <c r="Q376">
        <f>P383</f>
        <v/>
      </c>
    </row>
    <row r="377">
      <c r="A377" t="inlineStr"/>
      <c r="B377" t="inlineStr"/>
      <c r="C377" t="inlineStr">
        <is>
          <t>DC</t>
        </is>
      </c>
      <c r="D377" t="inlineStr">
        <is>
          <t>Total Forecast/Order</t>
        </is>
      </c>
      <c r="E377" t="inlineStr">
        <is>
          <t>Demand</t>
        </is>
      </c>
      <c r="F377" t="n">
        <v>20</v>
      </c>
      <c r="G377" t="n">
        <v>22</v>
      </c>
      <c r="H377" t="n">
        <v>22</v>
      </c>
      <c r="I377" t="n">
        <v>22</v>
      </c>
      <c r="J377" t="n">
        <v>17</v>
      </c>
      <c r="K377" t="n">
        <v>19</v>
      </c>
      <c r="L377" t="n">
        <v>18</v>
      </c>
      <c r="M377" t="n">
        <v>23</v>
      </c>
      <c r="N377" t="n">
        <v>13</v>
      </c>
      <c r="O377" t="n">
        <v>21</v>
      </c>
      <c r="P377" t="n">
        <v>20</v>
      </c>
      <c r="Q377" t="n">
        <v>18</v>
      </c>
    </row>
    <row r="378">
      <c r="A378" t="inlineStr"/>
      <c r="B378" t="inlineStr"/>
      <c r="C378" t="inlineStr">
        <is>
          <t>DC</t>
        </is>
      </c>
      <c r="D378" t="inlineStr">
        <is>
          <t>Start Backorder</t>
        </is>
      </c>
      <c r="E378" t="inlineStr">
        <is>
          <t>Demand</t>
        </is>
      </c>
      <c r="F378" t="n">
        <v>0</v>
      </c>
      <c r="G378">
        <f>F382</f>
        <v/>
      </c>
      <c r="H378">
        <f>G382</f>
        <v/>
      </c>
      <c r="I378">
        <f>H382</f>
        <v/>
      </c>
      <c r="J378">
        <f>I382</f>
        <v/>
      </c>
      <c r="K378">
        <f>J382</f>
        <v/>
      </c>
      <c r="L378">
        <f>K382</f>
        <v/>
      </c>
      <c r="M378">
        <f>L382</f>
        <v/>
      </c>
      <c r="N378">
        <f>M382</f>
        <v/>
      </c>
      <c r="O378">
        <f>N382</f>
        <v/>
      </c>
      <c r="P378">
        <f>O382</f>
        <v/>
      </c>
      <c r="Q378">
        <f>P382</f>
        <v/>
      </c>
    </row>
    <row r="379">
      <c r="A379" t="inlineStr"/>
      <c r="B379" t="inlineStr"/>
      <c r="C379" t="inlineStr">
        <is>
          <t>DC</t>
        </is>
      </c>
      <c r="D379" t="inlineStr">
        <is>
          <t>Total Demand</t>
        </is>
      </c>
      <c r="E379" t="inlineStr">
        <is>
          <t>Demand</t>
        </is>
      </c>
      <c r="F379">
        <f>F377+F378</f>
        <v/>
      </c>
      <c r="G379">
        <f>G377+G378</f>
        <v/>
      </c>
      <c r="H379">
        <f>H377+H378</f>
        <v/>
      </c>
      <c r="I379">
        <f>I377+I378</f>
        <v/>
      </c>
      <c r="J379">
        <f>J377+J378</f>
        <v/>
      </c>
      <c r="K379">
        <f>K377+K378</f>
        <v/>
      </c>
      <c r="L379">
        <f>L377+L378</f>
        <v/>
      </c>
      <c r="M379">
        <f>M377+M378</f>
        <v/>
      </c>
      <c r="N379">
        <f>N377+N378</f>
        <v/>
      </c>
      <c r="O379">
        <f>O377+O378</f>
        <v/>
      </c>
      <c r="P379">
        <f>P377+P378</f>
        <v/>
      </c>
      <c r="Q379">
        <f>Q377+Q378</f>
        <v/>
      </c>
    </row>
    <row r="380">
      <c r="A380" t="inlineStr"/>
      <c r="B380" t="inlineStr"/>
      <c r="C380" t="inlineStr">
        <is>
          <t>DC</t>
        </is>
      </c>
      <c r="D380" t="inlineStr">
        <is>
          <t>Dist. Receipt Planned</t>
        </is>
      </c>
      <c r="E380" t="inlineStr">
        <is>
          <t>Supply</t>
        </is>
      </c>
      <c r="F380" t="n">
        <v>0</v>
      </c>
      <c r="G380" t="n">
        <v>0</v>
      </c>
      <c r="H380" t="n">
        <v>0</v>
      </c>
      <c r="I380" t="n">
        <v>52</v>
      </c>
      <c r="J380" t="n">
        <v>129</v>
      </c>
      <c r="K380" t="n">
        <v>50</v>
      </c>
      <c r="L380" t="n">
        <v>35</v>
      </c>
      <c r="M380" t="n">
        <v>0</v>
      </c>
      <c r="N380" t="n">
        <v>0</v>
      </c>
      <c r="O380" t="n">
        <v>0</v>
      </c>
      <c r="P380" t="n">
        <v>120</v>
      </c>
      <c r="Q380" t="n">
        <v>0</v>
      </c>
    </row>
    <row r="381">
      <c r="A381" t="inlineStr"/>
      <c r="B381" t="inlineStr"/>
      <c r="C381" t="inlineStr">
        <is>
          <t>DC</t>
        </is>
      </c>
      <c r="D381" t="inlineStr">
        <is>
          <t>Total Supply</t>
        </is>
      </c>
      <c r="E381" t="inlineStr">
        <is>
          <t>Supply</t>
        </is>
      </c>
      <c r="F381">
        <f>F380</f>
        <v/>
      </c>
      <c r="G381">
        <f>G380</f>
        <v/>
      </c>
      <c r="H381">
        <f>H380</f>
        <v/>
      </c>
      <c r="I381">
        <f>I380</f>
        <v/>
      </c>
      <c r="J381">
        <f>J380</f>
        <v/>
      </c>
      <c r="K381">
        <f>K380</f>
        <v/>
      </c>
      <c r="L381">
        <f>L380</f>
        <v/>
      </c>
      <c r="M381">
        <f>M380</f>
        <v/>
      </c>
      <c r="N381">
        <f>N380</f>
        <v/>
      </c>
      <c r="O381">
        <f>O380</f>
        <v/>
      </c>
      <c r="P381">
        <f>P380</f>
        <v/>
      </c>
      <c r="Q381">
        <f>Q380</f>
        <v/>
      </c>
    </row>
    <row r="382">
      <c r="A382" t="inlineStr"/>
      <c r="B382" t="inlineStr"/>
      <c r="C382" t="inlineStr">
        <is>
          <t>DC</t>
        </is>
      </c>
      <c r="D382" t="inlineStr">
        <is>
          <t>End. Backorder</t>
        </is>
      </c>
      <c r="E382" t="inlineStr">
        <is>
          <t>Demand</t>
        </is>
      </c>
      <c r="F382">
        <f>-MIN(0,F376+F381-F379)</f>
        <v/>
      </c>
      <c r="G382">
        <f>-MIN(0,G376+G381-G379)</f>
        <v/>
      </c>
      <c r="H382">
        <f>-MIN(0,H376+H381-H379)</f>
        <v/>
      </c>
      <c r="I382">
        <f>-MIN(0,I376+I381-I379)</f>
        <v/>
      </c>
      <c r="J382">
        <f>-MIN(0,J376+J381-J379)</f>
        <v/>
      </c>
      <c r="K382">
        <f>-MIN(0,K376+K381-K379)</f>
        <v/>
      </c>
      <c r="L382">
        <f>-MIN(0,L376+L381-L379)</f>
        <v/>
      </c>
      <c r="M382">
        <f>-MIN(0,M376+M381-M379)</f>
        <v/>
      </c>
      <c r="N382">
        <f>-MIN(0,N376+N381-N379)</f>
        <v/>
      </c>
      <c r="O382">
        <f>-MIN(0,O376+O381-O379)</f>
        <v/>
      </c>
      <c r="P382">
        <f>-MIN(0,P376+P381-P379)</f>
        <v/>
      </c>
      <c r="Q382">
        <f>-MIN(0,Q376+Q381-Q379)</f>
        <v/>
      </c>
    </row>
    <row r="383">
      <c r="A383" t="inlineStr"/>
      <c r="B383" t="inlineStr"/>
      <c r="C383" t="inlineStr">
        <is>
          <t>DC</t>
        </is>
      </c>
      <c r="D383" t="inlineStr">
        <is>
          <t>End. Inventory</t>
        </is>
      </c>
      <c r="E383" t="inlineStr">
        <is>
          <t>Inv</t>
        </is>
      </c>
      <c r="F383">
        <f>MAX(F376+F381-F379,0)</f>
        <v/>
      </c>
      <c r="G383">
        <f>MAX(G376+G381-G379,0)</f>
        <v/>
      </c>
      <c r="H383">
        <f>MAX(H376+H381-H379,0)</f>
        <v/>
      </c>
      <c r="I383">
        <f>MAX(I376+I381-I379,0)</f>
        <v/>
      </c>
      <c r="J383">
        <f>MAX(J376+J381-J379,0)</f>
        <v/>
      </c>
      <c r="K383">
        <f>MAX(K376+K381-K379,0)</f>
        <v/>
      </c>
      <c r="L383">
        <f>MAX(L376+L381-L379,0)</f>
        <v/>
      </c>
      <c r="M383">
        <f>MAX(M376+M381-M379,0)</f>
        <v/>
      </c>
      <c r="N383">
        <f>MAX(N376+N381-N379,0)</f>
        <v/>
      </c>
      <c r="O383">
        <f>MAX(O376+O381-O379,0)</f>
        <v/>
      </c>
      <c r="P383">
        <f>MAX(P376+P381-P379,0)</f>
        <v/>
      </c>
      <c r="Q383">
        <f>MAX(Q376+Q381-Q379,0)</f>
        <v/>
      </c>
    </row>
    <row r="384">
      <c r="A384" t="inlineStr"/>
      <c r="B384" t="inlineStr"/>
      <c r="C384" t="inlineStr">
        <is>
          <t>DC</t>
        </is>
      </c>
      <c r="D384" t="inlineStr">
        <is>
          <t>MSTN Thresold</t>
        </is>
      </c>
      <c r="E384" t="inlineStr">
        <is>
          <t>Inv</t>
        </is>
      </c>
      <c r="F384" t="n">
        <v>74</v>
      </c>
      <c r="G384" t="n">
        <v>74</v>
      </c>
      <c r="H384" t="n">
        <v>74</v>
      </c>
      <c r="I384" t="n">
        <v>74</v>
      </c>
      <c r="J384" t="n">
        <v>74</v>
      </c>
      <c r="K384" t="n">
        <v>74</v>
      </c>
      <c r="L384" t="n">
        <v>74</v>
      </c>
      <c r="M384" t="n">
        <v>74</v>
      </c>
      <c r="N384" t="n">
        <v>74</v>
      </c>
      <c r="O384" t="n">
        <v>74</v>
      </c>
      <c r="P384" t="n">
        <v>74</v>
      </c>
      <c r="Q384" t="n">
        <v>74</v>
      </c>
    </row>
    <row r="385">
      <c r="A385" t="inlineStr"/>
      <c r="B385" t="inlineStr"/>
      <c r="C385" t="inlineStr">
        <is>
          <t>DC</t>
        </is>
      </c>
      <c r="D385" t="inlineStr">
        <is>
          <t>ESTN Thresold</t>
        </is>
      </c>
      <c r="E385" t="inlineStr">
        <is>
          <t>Inv</t>
        </is>
      </c>
      <c r="F385" t="n">
        <v>281</v>
      </c>
      <c r="G385" t="n">
        <v>281</v>
      </c>
      <c r="H385" t="n">
        <v>281</v>
      </c>
      <c r="I385" t="n">
        <v>281</v>
      </c>
      <c r="J385" t="n">
        <v>281</v>
      </c>
      <c r="K385" t="n">
        <v>281</v>
      </c>
      <c r="L385" t="n">
        <v>281</v>
      </c>
      <c r="M385" t="n">
        <v>281</v>
      </c>
      <c r="N385" t="n">
        <v>281</v>
      </c>
      <c r="O385" t="n">
        <v>281</v>
      </c>
      <c r="P385" t="n">
        <v>281</v>
      </c>
      <c r="Q385" t="n">
        <v>281</v>
      </c>
    </row>
    <row r="386">
      <c r="A386" t="inlineStr"/>
      <c r="B386" t="inlineStr"/>
      <c r="C386" t="inlineStr">
        <is>
          <t>DC</t>
        </is>
      </c>
      <c r="D386" t="inlineStr">
        <is>
          <t>MSTN%</t>
        </is>
      </c>
      <c r="E386" t="inlineStr"/>
      <c r="F386" s="2">
        <f>IFERROR(MIN(F383,F384)/F384,1)</f>
        <v/>
      </c>
      <c r="G386" s="2">
        <f>IFERROR(MIN(G383,G384)/G384,1)</f>
        <v/>
      </c>
      <c r="H386" s="2">
        <f>IFERROR(MIN(H383,H384)/H384,1)</f>
        <v/>
      </c>
      <c r="I386" s="2">
        <f>IFERROR(MIN(I383,I384)/I384,1)</f>
        <v/>
      </c>
      <c r="J386" s="2">
        <f>IFERROR(MIN(J383,J384)/J384,1)</f>
        <v/>
      </c>
      <c r="K386" s="2">
        <f>IFERROR(MIN(K383,K384)/K384,1)</f>
        <v/>
      </c>
      <c r="L386" s="2">
        <f>IFERROR(MIN(L383,L384)/L384,1)</f>
        <v/>
      </c>
      <c r="M386" s="2">
        <f>IFERROR(MIN(M383,M384)/M384,1)</f>
        <v/>
      </c>
      <c r="N386" s="2">
        <f>IFERROR(MIN(N383,N384)/N384,1)</f>
        <v/>
      </c>
      <c r="O386" s="2">
        <f>IFERROR(MIN(O383,O384)/O384,1)</f>
        <v/>
      </c>
      <c r="P386" s="2">
        <f>IFERROR(MIN(P383,P384)/P384,1)</f>
        <v/>
      </c>
      <c r="Q386" s="2">
        <f>IFERROR(MIN(Q383,Q384)/Q384,1)</f>
        <v/>
      </c>
    </row>
    <row r="387">
      <c r="A387" t="inlineStr"/>
      <c r="B387" t="inlineStr"/>
      <c r="C387" t="inlineStr">
        <is>
          <t>DC</t>
        </is>
      </c>
      <c r="D387" t="inlineStr">
        <is>
          <t>ESTN%</t>
        </is>
      </c>
      <c r="E387" t="inlineStr"/>
      <c r="F387" s="2">
        <f>MAX(F383-F385,0)/F385</f>
        <v/>
      </c>
      <c r="G387" s="2">
        <f>MAX(G383-G385,0)/G385</f>
        <v/>
      </c>
      <c r="H387" s="2">
        <f>MAX(H383-H385,0)/H385</f>
        <v/>
      </c>
      <c r="I387" s="2">
        <f>MAX(I383-I385,0)/I385</f>
        <v/>
      </c>
      <c r="J387" s="2">
        <f>MAX(J383-J385,0)/J385</f>
        <v/>
      </c>
      <c r="K387" s="2">
        <f>MAX(K383-K385,0)/K385</f>
        <v/>
      </c>
      <c r="L387" s="2">
        <f>MAX(L383-L385,0)/L385</f>
        <v/>
      </c>
      <c r="M387" s="2">
        <f>MAX(M383-M385,0)/M385</f>
        <v/>
      </c>
      <c r="N387" s="2">
        <f>MAX(N383-N385,0)/N385</f>
        <v/>
      </c>
      <c r="O387" s="2">
        <f>MAX(O383-O385,0)/O385</f>
        <v/>
      </c>
      <c r="P387" s="2">
        <f>MAX(P383-P385,0)/P385</f>
        <v/>
      </c>
      <c r="Q387" s="2">
        <f>MAX(Q383-Q385,0)/Q385</f>
        <v/>
      </c>
    </row>
    <row r="388">
      <c r="A388" t="inlineStr"/>
      <c r="B388" t="inlineStr"/>
      <c r="C388" t="inlineStr">
        <is>
          <t>DC</t>
        </is>
      </c>
      <c r="D388" t="inlineStr">
        <is>
          <t>Shortage</t>
        </is>
      </c>
      <c r="E388" t="inlineStr">
        <is>
          <t>Inv</t>
        </is>
      </c>
      <c r="F388">
        <f>MAX(0,F384-F383)</f>
        <v/>
      </c>
      <c r="G388">
        <f>MAX(0,G384-G383)</f>
        <v/>
      </c>
      <c r="H388">
        <f>MAX(0,H384-H383)</f>
        <v/>
      </c>
      <c r="I388">
        <f>MAX(0,I384-I383)</f>
        <v/>
      </c>
      <c r="J388">
        <f>MAX(0,J384-J383)</f>
        <v/>
      </c>
      <c r="K388">
        <f>MAX(0,K384-K383)</f>
        <v/>
      </c>
      <c r="L388">
        <f>MAX(0,L384-L383)</f>
        <v/>
      </c>
      <c r="M388">
        <f>MAX(0,M384-M383)</f>
        <v/>
      </c>
      <c r="N388">
        <f>MAX(0,N384-N383)</f>
        <v/>
      </c>
      <c r="O388">
        <f>MAX(0,O384-O383)</f>
        <v/>
      </c>
      <c r="P388">
        <f>MAX(0,P384-P383)</f>
        <v/>
      </c>
      <c r="Q388">
        <f>MAX(0,Q384-Q383)</f>
        <v/>
      </c>
    </row>
    <row r="389">
      <c r="A389" t="inlineStr"/>
      <c r="B389" t="inlineStr"/>
      <c r="C389" t="inlineStr">
        <is>
          <t>DC</t>
        </is>
      </c>
      <c r="D389" t="inlineStr">
        <is>
          <t>Excess</t>
        </is>
      </c>
      <c r="E389" t="inlineStr">
        <is>
          <t>Inv</t>
        </is>
      </c>
      <c r="F389">
        <f>MAX(0,F383-F385)</f>
        <v/>
      </c>
      <c r="G389">
        <f>MAX(0,G383-G385)</f>
        <v/>
      </c>
      <c r="H389">
        <f>MAX(0,H383-H385)</f>
        <v/>
      </c>
      <c r="I389">
        <f>MAX(0,I383-I385)</f>
        <v/>
      </c>
      <c r="J389">
        <f>MAX(0,J383-J385)</f>
        <v/>
      </c>
      <c r="K389">
        <f>MAX(0,K383-K385)</f>
        <v/>
      </c>
      <c r="L389">
        <f>MAX(0,L383-L385)</f>
        <v/>
      </c>
      <c r="M389">
        <f>MAX(0,M383-M385)</f>
        <v/>
      </c>
      <c r="N389">
        <f>MAX(0,N383-N385)</f>
        <v/>
      </c>
      <c r="O389">
        <f>MAX(0,O383-O385)</f>
        <v/>
      </c>
      <c r="P389">
        <f>MAX(0,P383-P385)</f>
        <v/>
      </c>
      <c r="Q389">
        <f>MAX(0,Q383-Q385)</f>
        <v/>
      </c>
    </row>
    <row r="390">
      <c r="A390" t="inlineStr"/>
      <c r="B390" t="inlineStr"/>
      <c r="C390" t="inlineStr">
        <is>
          <t>DC</t>
        </is>
      </c>
      <c r="D390" t="inlineStr">
        <is>
          <t>Out of stock Value($)</t>
        </is>
      </c>
      <c r="E390" t="inlineStr">
        <is>
          <t>Val</t>
        </is>
      </c>
    </row>
    <row r="391">
      <c r="A391" t="inlineStr"/>
      <c r="B391" t="inlineStr"/>
      <c r="C391" t="inlineStr">
        <is>
          <t>DC</t>
        </is>
      </c>
      <c r="D391" t="inlineStr">
        <is>
          <t>Excess and over($)</t>
        </is>
      </c>
      <c r="E391" t="inlineStr">
        <is>
          <t>Val</t>
        </is>
      </c>
    </row>
    <row r="392"/>
    <row r="393">
      <c r="A393" t="inlineStr">
        <is>
          <t>SKU_0005</t>
        </is>
      </c>
      <c r="B393" t="inlineStr">
        <is>
          <t>DC5</t>
        </is>
      </c>
      <c r="C393" t="inlineStr">
        <is>
          <t>DC</t>
        </is>
      </c>
      <c r="D393" t="inlineStr">
        <is>
          <t>Start Inventory</t>
        </is>
      </c>
      <c r="E393" t="inlineStr">
        <is>
          <t>Inv</t>
        </is>
      </c>
      <c r="F393" t="n">
        <v>471</v>
      </c>
      <c r="G393">
        <f>F400</f>
        <v/>
      </c>
      <c r="H393">
        <f>G400</f>
        <v/>
      </c>
      <c r="I393">
        <f>H400</f>
        <v/>
      </c>
      <c r="J393">
        <f>I400</f>
        <v/>
      </c>
      <c r="K393">
        <f>J400</f>
        <v/>
      </c>
      <c r="L393">
        <f>K400</f>
        <v/>
      </c>
      <c r="M393">
        <f>L400</f>
        <v/>
      </c>
      <c r="N393">
        <f>M400</f>
        <v/>
      </c>
      <c r="O393">
        <f>N400</f>
        <v/>
      </c>
      <c r="P393">
        <f>O400</f>
        <v/>
      </c>
      <c r="Q393">
        <f>P400</f>
        <v/>
      </c>
    </row>
    <row r="394">
      <c r="A394" t="inlineStr"/>
      <c r="B394" t="inlineStr"/>
      <c r="C394" t="inlineStr">
        <is>
          <t>DC</t>
        </is>
      </c>
      <c r="D394" t="inlineStr">
        <is>
          <t>Total Forecast/Order</t>
        </is>
      </c>
      <c r="E394" t="inlineStr">
        <is>
          <t>Demand</t>
        </is>
      </c>
      <c r="F394" t="n">
        <v>94</v>
      </c>
      <c r="G394" t="n">
        <v>107</v>
      </c>
      <c r="H394" t="n">
        <v>128</v>
      </c>
      <c r="I394" t="n">
        <v>71</v>
      </c>
      <c r="J394" t="n">
        <v>91</v>
      </c>
      <c r="K394" t="n">
        <v>111</v>
      </c>
      <c r="L394" t="n">
        <v>118</v>
      </c>
      <c r="M394" t="n">
        <v>125</v>
      </c>
      <c r="N394" t="n">
        <v>112</v>
      </c>
      <c r="O394" t="n">
        <v>93</v>
      </c>
      <c r="P394" t="n">
        <v>98</v>
      </c>
      <c r="Q394" t="n">
        <v>79</v>
      </c>
    </row>
    <row r="395">
      <c r="A395" t="inlineStr"/>
      <c r="B395" t="inlineStr"/>
      <c r="C395" t="inlineStr">
        <is>
          <t>DC</t>
        </is>
      </c>
      <c r="D395" t="inlineStr">
        <is>
          <t>Start Backorder</t>
        </is>
      </c>
      <c r="E395" t="inlineStr">
        <is>
          <t>Demand</t>
        </is>
      </c>
      <c r="F395" t="n">
        <v>0</v>
      </c>
      <c r="G395">
        <f>F399</f>
        <v/>
      </c>
      <c r="H395">
        <f>G399</f>
        <v/>
      </c>
      <c r="I395">
        <f>H399</f>
        <v/>
      </c>
      <c r="J395">
        <f>I399</f>
        <v/>
      </c>
      <c r="K395">
        <f>J399</f>
        <v/>
      </c>
      <c r="L395">
        <f>K399</f>
        <v/>
      </c>
      <c r="M395">
        <f>L399</f>
        <v/>
      </c>
      <c r="N395">
        <f>M399</f>
        <v/>
      </c>
      <c r="O395">
        <f>N399</f>
        <v/>
      </c>
      <c r="P395">
        <f>O399</f>
        <v/>
      </c>
      <c r="Q395">
        <f>P399</f>
        <v/>
      </c>
    </row>
    <row r="396">
      <c r="A396" t="inlineStr"/>
      <c r="B396" t="inlineStr"/>
      <c r="C396" t="inlineStr">
        <is>
          <t>DC</t>
        </is>
      </c>
      <c r="D396" t="inlineStr">
        <is>
          <t>Total Demand</t>
        </is>
      </c>
      <c r="E396" t="inlineStr">
        <is>
          <t>Demand</t>
        </is>
      </c>
      <c r="F396">
        <f>F394+F395</f>
        <v/>
      </c>
      <c r="G396">
        <f>G394+G395</f>
        <v/>
      </c>
      <c r="H396">
        <f>H394+H395</f>
        <v/>
      </c>
      <c r="I396">
        <f>I394+I395</f>
        <v/>
      </c>
      <c r="J396">
        <f>J394+J395</f>
        <v/>
      </c>
      <c r="K396">
        <f>K394+K395</f>
        <v/>
      </c>
      <c r="L396">
        <f>L394+L395</f>
        <v/>
      </c>
      <c r="M396">
        <f>M394+M395</f>
        <v/>
      </c>
      <c r="N396">
        <f>N394+N395</f>
        <v/>
      </c>
      <c r="O396">
        <f>O394+O395</f>
        <v/>
      </c>
      <c r="P396">
        <f>P394+P395</f>
        <v/>
      </c>
      <c r="Q396">
        <f>Q394+Q395</f>
        <v/>
      </c>
    </row>
    <row r="397">
      <c r="A397" t="inlineStr"/>
      <c r="B397" t="inlineStr"/>
      <c r="C397" t="inlineStr">
        <is>
          <t>DC</t>
        </is>
      </c>
      <c r="D397" t="inlineStr">
        <is>
          <t>Dist. Receipt Planned</t>
        </is>
      </c>
      <c r="E397" t="inlineStr">
        <is>
          <t>Supply</t>
        </is>
      </c>
      <c r="F397" t="n">
        <v>707</v>
      </c>
      <c r="G397" t="n">
        <v>245</v>
      </c>
      <c r="H397" t="n">
        <v>290</v>
      </c>
      <c r="I397" t="n">
        <v>0</v>
      </c>
      <c r="J397" t="n">
        <v>0</v>
      </c>
      <c r="K397" t="n">
        <v>616</v>
      </c>
      <c r="L397" t="n">
        <v>0</v>
      </c>
      <c r="M397" t="n">
        <v>0</v>
      </c>
      <c r="N397" t="n">
        <v>0</v>
      </c>
      <c r="O397" t="n">
        <v>0</v>
      </c>
      <c r="P397" t="n">
        <v>0</v>
      </c>
      <c r="Q397" t="n">
        <v>0</v>
      </c>
    </row>
    <row r="398">
      <c r="A398" t="inlineStr"/>
      <c r="B398" t="inlineStr"/>
      <c r="C398" t="inlineStr">
        <is>
          <t>DC</t>
        </is>
      </c>
      <c r="D398" t="inlineStr">
        <is>
          <t>Total Supply</t>
        </is>
      </c>
      <c r="E398" t="inlineStr">
        <is>
          <t>Supply</t>
        </is>
      </c>
      <c r="F398">
        <f>F397</f>
        <v/>
      </c>
      <c r="G398">
        <f>G397</f>
        <v/>
      </c>
      <c r="H398">
        <f>H397</f>
        <v/>
      </c>
      <c r="I398">
        <f>I397</f>
        <v/>
      </c>
      <c r="J398">
        <f>J397</f>
        <v/>
      </c>
      <c r="K398">
        <f>K397</f>
        <v/>
      </c>
      <c r="L398">
        <f>L397</f>
        <v/>
      </c>
      <c r="M398">
        <f>M397</f>
        <v/>
      </c>
      <c r="N398">
        <f>N397</f>
        <v/>
      </c>
      <c r="O398">
        <f>O397</f>
        <v/>
      </c>
      <c r="P398">
        <f>P397</f>
        <v/>
      </c>
      <c r="Q398">
        <f>Q397</f>
        <v/>
      </c>
    </row>
    <row r="399">
      <c r="A399" t="inlineStr"/>
      <c r="B399" t="inlineStr"/>
      <c r="C399" t="inlineStr">
        <is>
          <t>DC</t>
        </is>
      </c>
      <c r="D399" t="inlineStr">
        <is>
          <t>End. Backorder</t>
        </is>
      </c>
      <c r="E399" t="inlineStr">
        <is>
          <t>Demand</t>
        </is>
      </c>
      <c r="F399">
        <f>-MIN(0,F393+F398-F396)</f>
        <v/>
      </c>
      <c r="G399">
        <f>-MIN(0,G393+G398-G396)</f>
        <v/>
      </c>
      <c r="H399">
        <f>-MIN(0,H393+H398-H396)</f>
        <v/>
      </c>
      <c r="I399">
        <f>-MIN(0,I393+I398-I396)</f>
        <v/>
      </c>
      <c r="J399">
        <f>-MIN(0,J393+J398-J396)</f>
        <v/>
      </c>
      <c r="K399">
        <f>-MIN(0,K393+K398-K396)</f>
        <v/>
      </c>
      <c r="L399">
        <f>-MIN(0,L393+L398-L396)</f>
        <v/>
      </c>
      <c r="M399">
        <f>-MIN(0,M393+M398-M396)</f>
        <v/>
      </c>
      <c r="N399">
        <f>-MIN(0,N393+N398-N396)</f>
        <v/>
      </c>
      <c r="O399">
        <f>-MIN(0,O393+O398-O396)</f>
        <v/>
      </c>
      <c r="P399">
        <f>-MIN(0,P393+P398-P396)</f>
        <v/>
      </c>
      <c r="Q399">
        <f>-MIN(0,Q393+Q398-Q396)</f>
        <v/>
      </c>
    </row>
    <row r="400">
      <c r="A400" t="inlineStr"/>
      <c r="B400" t="inlineStr"/>
      <c r="C400" t="inlineStr">
        <is>
          <t>DC</t>
        </is>
      </c>
      <c r="D400" t="inlineStr">
        <is>
          <t>End. Inventory</t>
        </is>
      </c>
      <c r="E400" t="inlineStr">
        <is>
          <t>Inv</t>
        </is>
      </c>
      <c r="F400">
        <f>MAX(F393+F398-F396,0)</f>
        <v/>
      </c>
      <c r="G400">
        <f>MAX(G393+G398-G396,0)</f>
        <v/>
      </c>
      <c r="H400">
        <f>MAX(H393+H398-H396,0)</f>
        <v/>
      </c>
      <c r="I400">
        <f>MAX(I393+I398-I396,0)</f>
        <v/>
      </c>
      <c r="J400">
        <f>MAX(J393+J398-J396,0)</f>
        <v/>
      </c>
      <c r="K400">
        <f>MAX(K393+K398-K396,0)</f>
        <v/>
      </c>
      <c r="L400">
        <f>MAX(L393+L398-L396,0)</f>
        <v/>
      </c>
      <c r="M400">
        <f>MAX(M393+M398-M396,0)</f>
        <v/>
      </c>
      <c r="N400">
        <f>MAX(N393+N398-N396,0)</f>
        <v/>
      </c>
      <c r="O400">
        <f>MAX(O393+O398-O396,0)</f>
        <v/>
      </c>
      <c r="P400">
        <f>MAX(P393+P398-P396,0)</f>
        <v/>
      </c>
      <c r="Q400">
        <f>MAX(Q393+Q398-Q396,0)</f>
        <v/>
      </c>
    </row>
    <row r="401">
      <c r="A401" t="inlineStr"/>
      <c r="B401" t="inlineStr"/>
      <c r="C401" t="inlineStr">
        <is>
          <t>DC</t>
        </is>
      </c>
      <c r="D401" t="inlineStr">
        <is>
          <t>MSTN Thresold</t>
        </is>
      </c>
      <c r="E401" t="inlineStr">
        <is>
          <t>Inv</t>
        </is>
      </c>
      <c r="F401" t="n">
        <v>414</v>
      </c>
      <c r="G401" t="n">
        <v>414</v>
      </c>
      <c r="H401" t="n">
        <v>414</v>
      </c>
      <c r="I401" t="n">
        <v>414</v>
      </c>
      <c r="J401" t="n">
        <v>414</v>
      </c>
      <c r="K401" t="n">
        <v>414</v>
      </c>
      <c r="L401" t="n">
        <v>414</v>
      </c>
      <c r="M401" t="n">
        <v>414</v>
      </c>
      <c r="N401" t="n">
        <v>414</v>
      </c>
      <c r="O401" t="n">
        <v>414</v>
      </c>
      <c r="P401" t="n">
        <v>414</v>
      </c>
      <c r="Q401" t="n">
        <v>414</v>
      </c>
    </row>
    <row r="402">
      <c r="A402" t="inlineStr"/>
      <c r="B402" t="inlineStr"/>
      <c r="C402" t="inlineStr">
        <is>
          <t>DC</t>
        </is>
      </c>
      <c r="D402" t="inlineStr">
        <is>
          <t>ESTN Thresold</t>
        </is>
      </c>
      <c r="E402" t="inlineStr">
        <is>
          <t>Inv</t>
        </is>
      </c>
      <c r="F402" t="n">
        <v>1382</v>
      </c>
      <c r="G402" t="n">
        <v>1382</v>
      </c>
      <c r="H402" t="n">
        <v>1382</v>
      </c>
      <c r="I402" t="n">
        <v>1382</v>
      </c>
      <c r="J402" t="n">
        <v>1382</v>
      </c>
      <c r="K402" t="n">
        <v>1382</v>
      </c>
      <c r="L402" t="n">
        <v>1382</v>
      </c>
      <c r="M402" t="n">
        <v>1382</v>
      </c>
      <c r="N402" t="n">
        <v>1382</v>
      </c>
      <c r="O402" t="n">
        <v>1382</v>
      </c>
      <c r="P402" t="n">
        <v>1382</v>
      </c>
      <c r="Q402" t="n">
        <v>1382</v>
      </c>
    </row>
    <row r="403">
      <c r="A403" t="inlineStr"/>
      <c r="B403" t="inlineStr"/>
      <c r="C403" t="inlineStr">
        <is>
          <t>DC</t>
        </is>
      </c>
      <c r="D403" t="inlineStr">
        <is>
          <t>MSTN%</t>
        </is>
      </c>
      <c r="E403" t="inlineStr"/>
      <c r="F403" s="2">
        <f>IFERROR(MIN(F400,F401)/F401,1)</f>
        <v/>
      </c>
      <c r="G403" s="2">
        <f>IFERROR(MIN(G400,G401)/G401,1)</f>
        <v/>
      </c>
      <c r="H403" s="2">
        <f>IFERROR(MIN(H400,H401)/H401,1)</f>
        <v/>
      </c>
      <c r="I403" s="2">
        <f>IFERROR(MIN(I400,I401)/I401,1)</f>
        <v/>
      </c>
      <c r="J403" s="2">
        <f>IFERROR(MIN(J400,J401)/J401,1)</f>
        <v/>
      </c>
      <c r="K403" s="2">
        <f>IFERROR(MIN(K400,K401)/K401,1)</f>
        <v/>
      </c>
      <c r="L403" s="2">
        <f>IFERROR(MIN(L400,L401)/L401,1)</f>
        <v/>
      </c>
      <c r="M403" s="2">
        <f>IFERROR(MIN(M400,M401)/M401,1)</f>
        <v/>
      </c>
      <c r="N403" s="2">
        <f>IFERROR(MIN(N400,N401)/N401,1)</f>
        <v/>
      </c>
      <c r="O403" s="2">
        <f>IFERROR(MIN(O400,O401)/O401,1)</f>
        <v/>
      </c>
      <c r="P403" s="2">
        <f>IFERROR(MIN(P400,P401)/P401,1)</f>
        <v/>
      </c>
      <c r="Q403" s="2">
        <f>IFERROR(MIN(Q400,Q401)/Q401,1)</f>
        <v/>
      </c>
    </row>
    <row r="404">
      <c r="A404" t="inlineStr"/>
      <c r="B404" t="inlineStr"/>
      <c r="C404" t="inlineStr">
        <is>
          <t>DC</t>
        </is>
      </c>
      <c r="D404" t="inlineStr">
        <is>
          <t>ESTN%</t>
        </is>
      </c>
      <c r="E404" t="inlineStr"/>
      <c r="F404" s="2">
        <f>MAX(F400-F402,0)/F402</f>
        <v/>
      </c>
      <c r="G404" s="2">
        <f>MAX(G400-G402,0)/G402</f>
        <v/>
      </c>
      <c r="H404" s="2">
        <f>MAX(H400-H402,0)/H402</f>
        <v/>
      </c>
      <c r="I404" s="2">
        <f>MAX(I400-I402,0)/I402</f>
        <v/>
      </c>
      <c r="J404" s="2">
        <f>MAX(J400-J402,0)/J402</f>
        <v/>
      </c>
      <c r="K404" s="2">
        <f>MAX(K400-K402,0)/K402</f>
        <v/>
      </c>
      <c r="L404" s="2">
        <f>MAX(L400-L402,0)/L402</f>
        <v/>
      </c>
      <c r="M404" s="2">
        <f>MAX(M400-M402,0)/M402</f>
        <v/>
      </c>
      <c r="N404" s="2">
        <f>MAX(N400-N402,0)/N402</f>
        <v/>
      </c>
      <c r="O404" s="2">
        <f>MAX(O400-O402,0)/O402</f>
        <v/>
      </c>
      <c r="P404" s="2">
        <f>MAX(P400-P402,0)/P402</f>
        <v/>
      </c>
      <c r="Q404" s="2">
        <f>MAX(Q400-Q402,0)/Q402</f>
        <v/>
      </c>
    </row>
    <row r="405">
      <c r="A405" t="inlineStr"/>
      <c r="B405" t="inlineStr"/>
      <c r="C405" t="inlineStr">
        <is>
          <t>DC</t>
        </is>
      </c>
      <c r="D405" t="inlineStr">
        <is>
          <t>Shortage</t>
        </is>
      </c>
      <c r="E405" t="inlineStr">
        <is>
          <t>Inv</t>
        </is>
      </c>
      <c r="F405">
        <f>MAX(0,F401-F400)</f>
        <v/>
      </c>
      <c r="G405">
        <f>MAX(0,G401-G400)</f>
        <v/>
      </c>
      <c r="H405">
        <f>MAX(0,H401-H400)</f>
        <v/>
      </c>
      <c r="I405">
        <f>MAX(0,I401-I400)</f>
        <v/>
      </c>
      <c r="J405">
        <f>MAX(0,J401-J400)</f>
        <v/>
      </c>
      <c r="K405">
        <f>MAX(0,K401-K400)</f>
        <v/>
      </c>
      <c r="L405">
        <f>MAX(0,L401-L400)</f>
        <v/>
      </c>
      <c r="M405">
        <f>MAX(0,M401-M400)</f>
        <v/>
      </c>
      <c r="N405">
        <f>MAX(0,N401-N400)</f>
        <v/>
      </c>
      <c r="O405">
        <f>MAX(0,O401-O400)</f>
        <v/>
      </c>
      <c r="P405">
        <f>MAX(0,P401-P400)</f>
        <v/>
      </c>
      <c r="Q405">
        <f>MAX(0,Q401-Q400)</f>
        <v/>
      </c>
    </row>
    <row r="406">
      <c r="A406" t="inlineStr"/>
      <c r="B406" t="inlineStr"/>
      <c r="C406" t="inlineStr">
        <is>
          <t>DC</t>
        </is>
      </c>
      <c r="D406" t="inlineStr">
        <is>
          <t>Excess</t>
        </is>
      </c>
      <c r="E406" t="inlineStr">
        <is>
          <t>Inv</t>
        </is>
      </c>
      <c r="F406">
        <f>MAX(0,F400-F402)</f>
        <v/>
      </c>
      <c r="G406">
        <f>MAX(0,G400-G402)</f>
        <v/>
      </c>
      <c r="H406">
        <f>MAX(0,H400-H402)</f>
        <v/>
      </c>
      <c r="I406">
        <f>MAX(0,I400-I402)</f>
        <v/>
      </c>
      <c r="J406">
        <f>MAX(0,J400-J402)</f>
        <v/>
      </c>
      <c r="K406">
        <f>MAX(0,K400-K402)</f>
        <v/>
      </c>
      <c r="L406">
        <f>MAX(0,L400-L402)</f>
        <v/>
      </c>
      <c r="M406">
        <f>MAX(0,M400-M402)</f>
        <v/>
      </c>
      <c r="N406">
        <f>MAX(0,N400-N402)</f>
        <v/>
      </c>
      <c r="O406">
        <f>MAX(0,O400-O402)</f>
        <v/>
      </c>
      <c r="P406">
        <f>MAX(0,P400-P402)</f>
        <v/>
      </c>
      <c r="Q406">
        <f>MAX(0,Q400-Q402)</f>
        <v/>
      </c>
    </row>
    <row r="407">
      <c r="A407" t="inlineStr"/>
      <c r="B407" t="inlineStr"/>
      <c r="C407" t="inlineStr">
        <is>
          <t>DC</t>
        </is>
      </c>
      <c r="D407" t="inlineStr">
        <is>
          <t>Out of stock Value($)</t>
        </is>
      </c>
      <c r="E407" t="inlineStr">
        <is>
          <t>Val</t>
        </is>
      </c>
    </row>
    <row r="408">
      <c r="A408" t="inlineStr"/>
      <c r="B408" t="inlineStr"/>
      <c r="C408" t="inlineStr">
        <is>
          <t>DC</t>
        </is>
      </c>
      <c r="D408" t="inlineStr">
        <is>
          <t>Excess and over($)</t>
        </is>
      </c>
      <c r="E408" t="inlineStr">
        <is>
          <t>Val</t>
        </is>
      </c>
    </row>
    <row r="409"/>
    <row r="410">
      <c r="A410" t="inlineStr">
        <is>
          <t>SKU_0005</t>
        </is>
      </c>
      <c r="B410" t="inlineStr">
        <is>
          <t>F1</t>
        </is>
      </c>
      <c r="C410" t="inlineStr">
        <is>
          <t>DC</t>
        </is>
      </c>
      <c r="D410" t="inlineStr">
        <is>
          <t>Start Inventory</t>
        </is>
      </c>
      <c r="E410" t="inlineStr">
        <is>
          <t>Inv</t>
        </is>
      </c>
      <c r="F410" t="n">
        <v>1524</v>
      </c>
      <c r="G410">
        <f>F417</f>
        <v/>
      </c>
      <c r="H410">
        <f>G417</f>
        <v/>
      </c>
      <c r="I410">
        <f>H417</f>
        <v/>
      </c>
      <c r="J410">
        <f>I417</f>
        <v/>
      </c>
      <c r="K410">
        <f>J417</f>
        <v/>
      </c>
      <c r="L410">
        <f>K417</f>
        <v/>
      </c>
      <c r="M410">
        <f>L417</f>
        <v/>
      </c>
      <c r="N410">
        <f>M417</f>
        <v/>
      </c>
      <c r="O410">
        <f>N417</f>
        <v/>
      </c>
      <c r="P410">
        <f>O417</f>
        <v/>
      </c>
      <c r="Q410">
        <f>P417</f>
        <v/>
      </c>
    </row>
    <row r="411">
      <c r="A411" t="inlineStr"/>
      <c r="B411" t="inlineStr"/>
      <c r="C411" t="inlineStr">
        <is>
          <t>DC</t>
        </is>
      </c>
      <c r="D411" t="inlineStr">
        <is>
          <t>Total Forecast/Order</t>
        </is>
      </c>
      <c r="E411" t="inlineStr">
        <is>
          <t>Demand</t>
        </is>
      </c>
      <c r="F411" t="n">
        <v>985</v>
      </c>
      <c r="G411" t="n">
        <v>290</v>
      </c>
      <c r="H411" t="n">
        <v>198</v>
      </c>
      <c r="I411" t="n">
        <v>354</v>
      </c>
      <c r="J411" t="n">
        <v>1344</v>
      </c>
      <c r="K411" t="n">
        <v>80</v>
      </c>
      <c r="L411" t="n">
        <v>678</v>
      </c>
      <c r="M411" t="n">
        <v>135</v>
      </c>
      <c r="N411" t="n">
        <v>27</v>
      </c>
      <c r="O411" t="n">
        <v>165</v>
      </c>
      <c r="P411" t="n">
        <v>244</v>
      </c>
      <c r="Q411" t="n">
        <v>0</v>
      </c>
    </row>
    <row r="412">
      <c r="A412" t="inlineStr"/>
      <c r="B412" t="inlineStr"/>
      <c r="C412" t="inlineStr">
        <is>
          <t>DC</t>
        </is>
      </c>
      <c r="D412" t="inlineStr">
        <is>
          <t>Start Backorder</t>
        </is>
      </c>
      <c r="E412" t="inlineStr">
        <is>
          <t>Demand</t>
        </is>
      </c>
      <c r="F412" t="n">
        <v>0</v>
      </c>
      <c r="G412">
        <f>F416</f>
        <v/>
      </c>
      <c r="H412">
        <f>G416</f>
        <v/>
      </c>
      <c r="I412">
        <f>H416</f>
        <v/>
      </c>
      <c r="J412">
        <f>I416</f>
        <v/>
      </c>
      <c r="K412">
        <f>J416</f>
        <v/>
      </c>
      <c r="L412">
        <f>K416</f>
        <v/>
      </c>
      <c r="M412">
        <f>L416</f>
        <v/>
      </c>
      <c r="N412">
        <f>M416</f>
        <v/>
      </c>
      <c r="O412">
        <f>N416</f>
        <v/>
      </c>
      <c r="P412">
        <f>O416</f>
        <v/>
      </c>
      <c r="Q412">
        <f>P416</f>
        <v/>
      </c>
    </row>
    <row r="413">
      <c r="A413" t="inlineStr"/>
      <c r="B413" t="inlineStr"/>
      <c r="C413" t="inlineStr">
        <is>
          <t>DC</t>
        </is>
      </c>
      <c r="D413" t="inlineStr">
        <is>
          <t>Total Demand</t>
        </is>
      </c>
      <c r="E413" t="inlineStr">
        <is>
          <t>Demand</t>
        </is>
      </c>
      <c r="F413">
        <f>F411+F412</f>
        <v/>
      </c>
      <c r="G413">
        <f>G411+G412</f>
        <v/>
      </c>
      <c r="H413">
        <f>H411+H412</f>
        <v/>
      </c>
      <c r="I413">
        <f>I411+I412</f>
        <v/>
      </c>
      <c r="J413">
        <f>J411+J412</f>
        <v/>
      </c>
      <c r="K413">
        <f>K411+K412</f>
        <v/>
      </c>
      <c r="L413">
        <f>L411+L412</f>
        <v/>
      </c>
      <c r="M413">
        <f>M411+M412</f>
        <v/>
      </c>
      <c r="N413">
        <f>N411+N412</f>
        <v/>
      </c>
      <c r="O413">
        <f>O411+O412</f>
        <v/>
      </c>
      <c r="P413">
        <f>P411+P412</f>
        <v/>
      </c>
      <c r="Q413">
        <f>Q411+Q412</f>
        <v/>
      </c>
    </row>
    <row r="414">
      <c r="A414" t="inlineStr"/>
      <c r="B414" t="inlineStr"/>
      <c r="C414" t="inlineStr">
        <is>
          <t>DC</t>
        </is>
      </c>
      <c r="D414" t="inlineStr">
        <is>
          <t>Dist. Receipt Planned</t>
        </is>
      </c>
      <c r="E414" t="inlineStr">
        <is>
          <t>Supply</t>
        </is>
      </c>
      <c r="F414" t="n">
        <v>1871</v>
      </c>
      <c r="G414" t="n">
        <v>890</v>
      </c>
      <c r="H414" t="n">
        <v>0</v>
      </c>
      <c r="I414" t="n">
        <v>0</v>
      </c>
      <c r="J414" t="n">
        <v>2110</v>
      </c>
      <c r="K414" t="n">
        <v>621</v>
      </c>
      <c r="L414" t="n">
        <v>595</v>
      </c>
      <c r="M414" t="n">
        <v>2097</v>
      </c>
      <c r="N414" t="n">
        <v>928</v>
      </c>
      <c r="O414" t="n">
        <v>987</v>
      </c>
      <c r="P414" t="n">
        <v>0</v>
      </c>
      <c r="Q414" t="n">
        <v>825</v>
      </c>
    </row>
    <row r="415">
      <c r="A415" t="inlineStr"/>
      <c r="B415" t="inlineStr"/>
      <c r="C415" t="inlineStr">
        <is>
          <t>DC</t>
        </is>
      </c>
      <c r="D415" t="inlineStr">
        <is>
          <t>Total Supply</t>
        </is>
      </c>
      <c r="E415" t="inlineStr">
        <is>
          <t>Supply</t>
        </is>
      </c>
      <c r="F415">
        <f>F414</f>
        <v/>
      </c>
      <c r="G415">
        <f>G414</f>
        <v/>
      </c>
      <c r="H415">
        <f>H414</f>
        <v/>
      </c>
      <c r="I415">
        <f>I414</f>
        <v/>
      </c>
      <c r="J415">
        <f>J414</f>
        <v/>
      </c>
      <c r="K415">
        <f>K414</f>
        <v/>
      </c>
      <c r="L415">
        <f>L414</f>
        <v/>
      </c>
      <c r="M415">
        <f>M414</f>
        <v/>
      </c>
      <c r="N415">
        <f>N414</f>
        <v/>
      </c>
      <c r="O415">
        <f>O414</f>
        <v/>
      </c>
      <c r="P415">
        <f>P414</f>
        <v/>
      </c>
      <c r="Q415">
        <f>Q414</f>
        <v/>
      </c>
    </row>
    <row r="416">
      <c r="A416" t="inlineStr"/>
      <c r="B416" t="inlineStr"/>
      <c r="C416" t="inlineStr">
        <is>
          <t>DC</t>
        </is>
      </c>
      <c r="D416" t="inlineStr">
        <is>
          <t>End. Backorder</t>
        </is>
      </c>
      <c r="E416" t="inlineStr">
        <is>
          <t>Demand</t>
        </is>
      </c>
      <c r="F416">
        <f>-MIN(0,F410+F415-F413)</f>
        <v/>
      </c>
      <c r="G416">
        <f>-MIN(0,G410+G415-G413)</f>
        <v/>
      </c>
      <c r="H416">
        <f>-MIN(0,H410+H415-H413)</f>
        <v/>
      </c>
      <c r="I416">
        <f>-MIN(0,I410+I415-I413)</f>
        <v/>
      </c>
      <c r="J416">
        <f>-MIN(0,J410+J415-J413)</f>
        <v/>
      </c>
      <c r="K416">
        <f>-MIN(0,K410+K415-K413)</f>
        <v/>
      </c>
      <c r="L416">
        <f>-MIN(0,L410+L415-L413)</f>
        <v/>
      </c>
      <c r="M416">
        <f>-MIN(0,M410+M415-M413)</f>
        <v/>
      </c>
      <c r="N416">
        <f>-MIN(0,N410+N415-N413)</f>
        <v/>
      </c>
      <c r="O416">
        <f>-MIN(0,O410+O415-O413)</f>
        <v/>
      </c>
      <c r="P416">
        <f>-MIN(0,P410+P415-P413)</f>
        <v/>
      </c>
      <c r="Q416">
        <f>-MIN(0,Q410+Q415-Q413)</f>
        <v/>
      </c>
    </row>
    <row r="417">
      <c r="A417" t="inlineStr"/>
      <c r="B417" t="inlineStr"/>
      <c r="C417" t="inlineStr">
        <is>
          <t>DC</t>
        </is>
      </c>
      <c r="D417" t="inlineStr">
        <is>
          <t>End. Inventory</t>
        </is>
      </c>
      <c r="E417" t="inlineStr">
        <is>
          <t>Inv</t>
        </is>
      </c>
      <c r="F417">
        <f>MAX(F410+F415-F413,0)</f>
        <v/>
      </c>
      <c r="G417">
        <f>MAX(G410+G415-G413,0)</f>
        <v/>
      </c>
      <c r="H417">
        <f>MAX(H410+H415-H413,0)</f>
        <v/>
      </c>
      <c r="I417">
        <f>MAX(I410+I415-I413,0)</f>
        <v/>
      </c>
      <c r="J417">
        <f>MAX(J410+J415-J413,0)</f>
        <v/>
      </c>
      <c r="K417">
        <f>MAX(K410+K415-K413,0)</f>
        <v/>
      </c>
      <c r="L417">
        <f>MAX(L410+L415-L413,0)</f>
        <v/>
      </c>
      <c r="M417">
        <f>MAX(M410+M415-M413,0)</f>
        <v/>
      </c>
      <c r="N417">
        <f>MAX(N410+N415-N413,0)</f>
        <v/>
      </c>
      <c r="O417">
        <f>MAX(O410+O415-O413,0)</f>
        <v/>
      </c>
      <c r="P417">
        <f>MAX(P410+P415-P413,0)</f>
        <v/>
      </c>
      <c r="Q417">
        <f>MAX(Q410+Q415-Q413,0)</f>
        <v/>
      </c>
    </row>
    <row r="418">
      <c r="A418" t="inlineStr"/>
      <c r="B418" t="inlineStr"/>
      <c r="C418" t="inlineStr">
        <is>
          <t>DC</t>
        </is>
      </c>
      <c r="D418" t="inlineStr">
        <is>
          <t>MSTN Thresold</t>
        </is>
      </c>
      <c r="E418" t="inlineStr">
        <is>
          <t>Inv</t>
        </is>
      </c>
      <c r="F418" t="n">
        <v>1033</v>
      </c>
      <c r="G418" t="n">
        <v>1033</v>
      </c>
      <c r="H418" t="n">
        <v>1033</v>
      </c>
      <c r="I418" t="n">
        <v>1033</v>
      </c>
      <c r="J418" t="n">
        <v>1033</v>
      </c>
      <c r="K418" t="n">
        <v>1033</v>
      </c>
      <c r="L418" t="n">
        <v>1033</v>
      </c>
      <c r="M418" t="n">
        <v>1033</v>
      </c>
      <c r="N418" t="n">
        <v>1033</v>
      </c>
      <c r="O418" t="n">
        <v>1033</v>
      </c>
      <c r="P418" t="n">
        <v>1033</v>
      </c>
      <c r="Q418" t="n">
        <v>1033</v>
      </c>
    </row>
    <row r="419">
      <c r="A419" t="inlineStr"/>
      <c r="B419" t="inlineStr"/>
      <c r="C419" t="inlineStr">
        <is>
          <t>DC</t>
        </is>
      </c>
      <c r="D419" t="inlineStr">
        <is>
          <t>ESTN Thresold</t>
        </is>
      </c>
      <c r="E419" t="inlineStr">
        <is>
          <t>Inv</t>
        </is>
      </c>
      <c r="F419" t="n">
        <v>3086</v>
      </c>
      <c r="G419" t="n">
        <v>3086</v>
      </c>
      <c r="H419" t="n">
        <v>3086</v>
      </c>
      <c r="I419" t="n">
        <v>3086</v>
      </c>
      <c r="J419" t="n">
        <v>3086</v>
      </c>
      <c r="K419" t="n">
        <v>3086</v>
      </c>
      <c r="L419" t="n">
        <v>3086</v>
      </c>
      <c r="M419" t="n">
        <v>3086</v>
      </c>
      <c r="N419" t="n">
        <v>3086</v>
      </c>
      <c r="O419" t="n">
        <v>3086</v>
      </c>
      <c r="P419" t="n">
        <v>3086</v>
      </c>
      <c r="Q419" t="n">
        <v>3086</v>
      </c>
    </row>
    <row r="420">
      <c r="A420" t="inlineStr"/>
      <c r="B420" t="inlineStr"/>
      <c r="C420" t="inlineStr">
        <is>
          <t>DC</t>
        </is>
      </c>
      <c r="D420" t="inlineStr">
        <is>
          <t>MSTN%</t>
        </is>
      </c>
      <c r="E420" t="inlineStr"/>
      <c r="F420" s="2">
        <f>IFERROR(MIN(F417,F418)/F418,1)</f>
        <v/>
      </c>
      <c r="G420" s="2">
        <f>IFERROR(MIN(G417,G418)/G418,1)</f>
        <v/>
      </c>
      <c r="H420" s="2">
        <f>IFERROR(MIN(H417,H418)/H418,1)</f>
        <v/>
      </c>
      <c r="I420" s="2">
        <f>IFERROR(MIN(I417,I418)/I418,1)</f>
        <v/>
      </c>
      <c r="J420" s="2">
        <f>IFERROR(MIN(J417,J418)/J418,1)</f>
        <v/>
      </c>
      <c r="K420" s="2">
        <f>IFERROR(MIN(K417,K418)/K418,1)</f>
        <v/>
      </c>
      <c r="L420" s="2">
        <f>IFERROR(MIN(L417,L418)/L418,1)</f>
        <v/>
      </c>
      <c r="M420" s="2">
        <f>IFERROR(MIN(M417,M418)/M418,1)</f>
        <v/>
      </c>
      <c r="N420" s="2">
        <f>IFERROR(MIN(N417,N418)/N418,1)</f>
        <v/>
      </c>
      <c r="O420" s="2">
        <f>IFERROR(MIN(O417,O418)/O418,1)</f>
        <v/>
      </c>
      <c r="P420" s="2">
        <f>IFERROR(MIN(P417,P418)/P418,1)</f>
        <v/>
      </c>
      <c r="Q420" s="2">
        <f>IFERROR(MIN(Q417,Q418)/Q418,1)</f>
        <v/>
      </c>
    </row>
    <row r="421">
      <c r="A421" t="inlineStr"/>
      <c r="B421" t="inlineStr"/>
      <c r="C421" t="inlineStr">
        <is>
          <t>DC</t>
        </is>
      </c>
      <c r="D421" t="inlineStr">
        <is>
          <t>ESTN%</t>
        </is>
      </c>
      <c r="E421" t="inlineStr"/>
      <c r="F421" s="2">
        <f>MAX(F417-F419,0)/F419</f>
        <v/>
      </c>
      <c r="G421" s="2">
        <f>MAX(G417-G419,0)/G419</f>
        <v/>
      </c>
      <c r="H421" s="2">
        <f>MAX(H417-H419,0)/H419</f>
        <v/>
      </c>
      <c r="I421" s="2">
        <f>MAX(I417-I419,0)/I419</f>
        <v/>
      </c>
      <c r="J421" s="2">
        <f>MAX(J417-J419,0)/J419</f>
        <v/>
      </c>
      <c r="K421" s="2">
        <f>MAX(K417-K419,0)/K419</f>
        <v/>
      </c>
      <c r="L421" s="2">
        <f>MAX(L417-L419,0)/L419</f>
        <v/>
      </c>
      <c r="M421" s="2">
        <f>MAX(M417-M419,0)/M419</f>
        <v/>
      </c>
      <c r="N421" s="2">
        <f>MAX(N417-N419,0)/N419</f>
        <v/>
      </c>
      <c r="O421" s="2">
        <f>MAX(O417-O419,0)/O419</f>
        <v/>
      </c>
      <c r="P421" s="2">
        <f>MAX(P417-P419,0)/P419</f>
        <v/>
      </c>
      <c r="Q421" s="2">
        <f>MAX(Q417-Q419,0)/Q419</f>
        <v/>
      </c>
    </row>
    <row r="422">
      <c r="A422" t="inlineStr"/>
      <c r="B422" t="inlineStr"/>
      <c r="C422" t="inlineStr">
        <is>
          <t>DC</t>
        </is>
      </c>
      <c r="D422" t="inlineStr">
        <is>
          <t>Shortage</t>
        </is>
      </c>
      <c r="E422" t="inlineStr">
        <is>
          <t>Inv</t>
        </is>
      </c>
      <c r="F422">
        <f>MAX(0,F418-F417)</f>
        <v/>
      </c>
      <c r="G422">
        <f>MAX(0,G418-G417)</f>
        <v/>
      </c>
      <c r="H422">
        <f>MAX(0,H418-H417)</f>
        <v/>
      </c>
      <c r="I422">
        <f>MAX(0,I418-I417)</f>
        <v/>
      </c>
      <c r="J422">
        <f>MAX(0,J418-J417)</f>
        <v/>
      </c>
      <c r="K422">
        <f>MAX(0,K418-K417)</f>
        <v/>
      </c>
      <c r="L422">
        <f>MAX(0,L418-L417)</f>
        <v/>
      </c>
      <c r="M422">
        <f>MAX(0,M418-M417)</f>
        <v/>
      </c>
      <c r="N422">
        <f>MAX(0,N418-N417)</f>
        <v/>
      </c>
      <c r="O422">
        <f>MAX(0,O418-O417)</f>
        <v/>
      </c>
      <c r="P422">
        <f>MAX(0,P418-P417)</f>
        <v/>
      </c>
      <c r="Q422">
        <f>MAX(0,Q418-Q417)</f>
        <v/>
      </c>
    </row>
    <row r="423">
      <c r="A423" t="inlineStr"/>
      <c r="B423" t="inlineStr"/>
      <c r="C423" t="inlineStr">
        <is>
          <t>DC</t>
        </is>
      </c>
      <c r="D423" t="inlineStr">
        <is>
          <t>Excess</t>
        </is>
      </c>
      <c r="E423" t="inlineStr">
        <is>
          <t>Inv</t>
        </is>
      </c>
      <c r="F423">
        <f>MAX(0,F417-F419)</f>
        <v/>
      </c>
      <c r="G423">
        <f>MAX(0,G417-G419)</f>
        <v/>
      </c>
      <c r="H423">
        <f>MAX(0,H417-H419)</f>
        <v/>
      </c>
      <c r="I423">
        <f>MAX(0,I417-I419)</f>
        <v/>
      </c>
      <c r="J423">
        <f>MAX(0,J417-J419)</f>
        <v/>
      </c>
      <c r="K423">
        <f>MAX(0,K417-K419)</f>
        <v/>
      </c>
      <c r="L423">
        <f>MAX(0,L417-L419)</f>
        <v/>
      </c>
      <c r="M423">
        <f>MAX(0,M417-M419)</f>
        <v/>
      </c>
      <c r="N423">
        <f>MAX(0,N417-N419)</f>
        <v/>
      </c>
      <c r="O423">
        <f>MAX(0,O417-O419)</f>
        <v/>
      </c>
      <c r="P423">
        <f>MAX(0,P417-P419)</f>
        <v/>
      </c>
      <c r="Q423">
        <f>MAX(0,Q417-Q419)</f>
        <v/>
      </c>
    </row>
    <row r="424">
      <c r="A424" t="inlineStr"/>
      <c r="B424" t="inlineStr"/>
      <c r="C424" t="inlineStr">
        <is>
          <t>DC</t>
        </is>
      </c>
      <c r="D424" t="inlineStr">
        <is>
          <t>Out of stock Value($)</t>
        </is>
      </c>
      <c r="E424" t="inlineStr">
        <is>
          <t>Val</t>
        </is>
      </c>
    </row>
    <row r="425">
      <c r="A425" t="inlineStr"/>
      <c r="B425" t="inlineStr"/>
      <c r="C425" t="inlineStr">
        <is>
          <t>DC</t>
        </is>
      </c>
      <c r="D425" t="inlineStr">
        <is>
          <t>Excess and over($)</t>
        </is>
      </c>
      <c r="E425" t="inlineStr">
        <is>
          <t>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01"/>
  <sheetViews>
    <sheetView workbookViewId="0">
      <selection activeCell="A1" sqref="A1"/>
    </sheetView>
  </sheetViews>
  <sheetFormatPr baseColWidth="8" defaultRowHeight="15"/>
  <cols>
    <col width="21" customWidth="1" min="1" max="1"/>
    <col width="17" customWidth="1" min="2" max="2"/>
    <col width="14" customWidth="1" min="3" max="3"/>
    <col width="14" customWidth="1" min="4" max="4"/>
    <col width="12" customWidth="1" min="5" max="5"/>
    <col width="11" customWidth="1" min="6" max="6"/>
    <col width="14" customWidth="1" min="7" max="7"/>
    <col width="15" customWidth="1" min="8" max="8"/>
    <col width="13" customWidth="1" min="9" max="9"/>
    <col width="12" customWidth="1" min="10" max="10"/>
    <col width="13" customWidth="1" min="11" max="11"/>
    <col width="13" customWidth="1" min="12" max="12"/>
    <col width="33" customWidth="1" min="13" max="13"/>
    <col width="19" customWidth="1" min="14" max="14"/>
    <col width="24" customWidth="1" min="15" max="15"/>
    <col width="19" customWidth="1" min="16" max="16"/>
    <col width="16" customWidth="1" min="17" max="17"/>
    <col width="16" customWidth="1" min="18" max="18"/>
    <col width="16" customWidth="1" min="19" max="19"/>
    <col width="16" customWidth="1" min="20" max="20"/>
    <col width="18" customWidth="1" min="21" max="21"/>
    <col width="18" customWidth="1" min="22" max="22"/>
    <col width="20" customWidth="1" min="23" max="23"/>
    <col width="13" customWidth="1" min="24" max="24"/>
    <col width="33" customWidth="1" min="25" max="25"/>
    <col width="34" customWidth="1" min="26" max="26"/>
    <col width="25" customWidth="1" min="27" max="27"/>
    <col width="26" customWidth="1" min="28" max="28"/>
    <col width="30" customWidth="1" min="29" max="29"/>
    <col width="31" customWidth="1" min="30" max="30"/>
    <col width="17" customWidth="1" min="31" max="31"/>
    <col width="17" customWidth="1" min="32" max="32"/>
    <col width="9" customWidth="1" min="33" max="33"/>
    <col width="9" customWidth="1" min="34" max="34"/>
    <col width="12" customWidth="1" min="35" max="35"/>
    <col width="10" customWidth="1" min="36" max="36"/>
    <col width="17" customWidth="1" min="37" max="37"/>
    <col width="17" customWidth="1" min="38" max="38"/>
    <col width="12" customWidth="1" min="39" max="39"/>
    <col width="22" customWidth="1" min="40" max="40"/>
    <col width="16" customWidth="1" min="41" max="41"/>
    <col width="18" customWidth="1" min="42" max="42"/>
    <col width="60" customWidth="1" min="43" max="43"/>
    <col width="57" customWidth="1" min="44" max="44"/>
    <col width="38" customWidth="1" min="45" max="45"/>
    <col width="42" customWidth="1" min="46" max="46"/>
    <col width="57" customWidth="1" min="47" max="47"/>
    <col width="60" customWidth="1" min="48" max="48"/>
  </cols>
  <sheetData>
    <row r="1">
      <c r="A1" s="1" t="inlineStr">
        <is>
          <t>Alert_ID</t>
        </is>
      </c>
      <c r="B1" s="1" t="inlineStr">
        <is>
          <t>Snapshot_Date</t>
        </is>
      </c>
      <c r="C1" s="1" t="inlineStr">
        <is>
          <t>Week</t>
        </is>
      </c>
      <c r="D1" s="1" t="inlineStr">
        <is>
          <t>Week_Index</t>
        </is>
      </c>
      <c r="E1" s="1" t="inlineStr">
        <is>
          <t>SKU</t>
        </is>
      </c>
      <c r="F1" s="1" t="inlineStr">
        <is>
          <t>Site ID</t>
        </is>
      </c>
      <c r="G1" s="1" t="inlineStr">
        <is>
          <t>Factory ID</t>
        </is>
      </c>
      <c r="H1" s="1" t="inlineStr">
        <is>
          <t>Location</t>
        </is>
      </c>
      <c r="I1" s="1" t="inlineStr">
        <is>
          <t>Region</t>
        </is>
      </c>
      <c r="J1" s="1" t="inlineStr">
        <is>
          <t>Latitude</t>
        </is>
      </c>
      <c r="K1" s="1" t="inlineStr">
        <is>
          <t>Longitude</t>
        </is>
      </c>
      <c r="L1" s="1" t="inlineStr">
        <is>
          <t>Site Type</t>
        </is>
      </c>
      <c r="M1" s="1" t="inlineStr">
        <is>
          <t>Category</t>
        </is>
      </c>
      <c r="N1" s="1" t="inlineStr">
        <is>
          <t>Start Inventory</t>
        </is>
      </c>
      <c r="O1" s="1" t="inlineStr">
        <is>
          <t>Total Forecast/Order</t>
        </is>
      </c>
      <c r="P1" s="1" t="inlineStr">
        <is>
          <t>Start Backorder</t>
        </is>
      </c>
      <c r="Q1" s="1" t="inlineStr">
        <is>
          <t>Total Demand</t>
        </is>
      </c>
      <c r="R1" s="1" t="inlineStr">
        <is>
          <t>Planned Prod</t>
        </is>
      </c>
      <c r="S1" s="1" t="inlineStr">
        <is>
          <t>Confirm Prod</t>
        </is>
      </c>
      <c r="T1" s="1" t="inlineStr">
        <is>
          <t>Total Supply</t>
        </is>
      </c>
      <c r="U1" s="1" t="inlineStr">
        <is>
          <t>End. Backorder</t>
        </is>
      </c>
      <c r="V1" s="1" t="inlineStr">
        <is>
          <t>End. Inventory</t>
        </is>
      </c>
      <c r="W1" s="1" t="inlineStr">
        <is>
          <t>Days of Coverage</t>
        </is>
      </c>
      <c r="X1" s="1" t="inlineStr">
        <is>
          <t>Lead Time</t>
        </is>
      </c>
      <c r="Y1" s="1" t="inlineStr">
        <is>
          <t>Target Safety Stock (in Days)</t>
        </is>
      </c>
      <c r="Z1" s="1" t="inlineStr">
        <is>
          <t>Target Safety Stock (in Units)</t>
        </is>
      </c>
      <c r="AA1" s="1" t="inlineStr">
        <is>
          <t>Cycle Stock (in Days)</t>
        </is>
      </c>
      <c r="AB1" s="1" t="inlineStr">
        <is>
          <t>Cycle Stock (in Units)</t>
        </is>
      </c>
      <c r="AC1" s="1" t="inlineStr">
        <is>
          <t>Target Max Stock (in Days)</t>
        </is>
      </c>
      <c r="AD1" s="1" t="inlineStr">
        <is>
          <t>Target Max Stock (in Units)</t>
        </is>
      </c>
      <c r="AE1" s="1" t="inlineStr">
        <is>
          <t>MSTN Thresold</t>
        </is>
      </c>
      <c r="AF1" s="1" t="inlineStr">
        <is>
          <t>ESTN Thresold</t>
        </is>
      </c>
      <c r="AG1" s="1" t="inlineStr">
        <is>
          <t>MSTN%</t>
        </is>
      </c>
      <c r="AH1" s="1" t="inlineStr">
        <is>
          <t>ESTN%</t>
        </is>
      </c>
      <c r="AI1" s="1" t="inlineStr">
        <is>
          <t>Shortage</t>
        </is>
      </c>
      <c r="AJ1" s="1" t="inlineStr">
        <is>
          <t>Excess</t>
        </is>
      </c>
      <c r="AK1" s="1" t="inlineStr">
        <is>
          <t>Business Unit</t>
        </is>
      </c>
      <c r="AL1" s="1" t="inlineStr">
        <is>
          <t>Alert Type</t>
        </is>
      </c>
      <c r="AM1" s="1" t="inlineStr">
        <is>
          <t>Priority</t>
        </is>
      </c>
      <c r="AN1" s="1" t="inlineStr">
        <is>
          <t>Alert</t>
        </is>
      </c>
      <c r="AO1" s="1" t="inlineStr">
        <is>
          <t>SKU_Category</t>
        </is>
      </c>
      <c r="AP1" s="1" t="inlineStr">
        <is>
          <t>SKU_Importance</t>
        </is>
      </c>
      <c r="AQ1" s="1" t="inlineStr">
        <is>
          <t>W1_Priority_Flag</t>
        </is>
      </c>
      <c r="AR1" s="1" t="inlineStr">
        <is>
          <t>W2_Shortage_Excess_Qty</t>
        </is>
      </c>
      <c r="AS1" s="1" t="inlineStr">
        <is>
          <t>W3_Days_to_Alert</t>
        </is>
      </c>
      <c r="AT1" s="1" t="inlineStr">
        <is>
          <t>W4_SKU_Importance</t>
        </is>
      </c>
      <c r="AU1" s="1" t="inlineStr">
        <is>
          <t>Priority_Score</t>
        </is>
      </c>
      <c r="AV1" s="1" t="inlineStr">
        <is>
          <t>Root Cause Analysis/AI Insights</t>
        </is>
      </c>
    </row>
    <row r="2">
      <c r="A2" t="inlineStr"/>
      <c r="B2" t="inlineStr">
        <is>
          <t>2026-04-17</t>
        </is>
      </c>
      <c r="C2" t="inlineStr">
        <is>
          <t>2026-02-08</t>
        </is>
      </c>
      <c r="D2" t="n">
        <v>1</v>
      </c>
      <c r="E2" t="inlineStr">
        <is>
          <t>SKU_0001</t>
        </is>
      </c>
      <c r="F2" t="inlineStr">
        <is>
          <t>DC1</t>
        </is>
      </c>
      <c r="G2" t="inlineStr">
        <is>
          <t>F1</t>
        </is>
      </c>
      <c r="H2" t="inlineStr">
        <is>
          <t>New York</t>
        </is>
      </c>
      <c r="I2" t="inlineStr">
        <is>
          <t>Northeast</t>
        </is>
      </c>
      <c r="J2" t="n">
        <v>40.7128</v>
      </c>
      <c r="K2" t="n">
        <v>-74.006</v>
      </c>
      <c r="L2" t="inlineStr">
        <is>
          <t>DC</t>
        </is>
      </c>
      <c r="M2" t="inlineStr">
        <is>
          <t>Medical Devices &amp; Diagnostics</t>
        </is>
      </c>
      <c r="N2" t="n">
        <v>316</v>
      </c>
      <c r="O2" t="n">
        <v>66</v>
      </c>
      <c r="P2" t="n">
        <v>0</v>
      </c>
      <c r="Q2" t="n">
        <v>66</v>
      </c>
      <c r="R2" t="n">
        <v>146</v>
      </c>
      <c r="S2" t="n">
        <v>0</v>
      </c>
      <c r="T2" t="n">
        <v>146</v>
      </c>
      <c r="U2" t="n">
        <v>0</v>
      </c>
      <c r="V2" t="n">
        <v>396</v>
      </c>
      <c r="W2" t="n">
        <v>42</v>
      </c>
      <c r="X2" t="n">
        <v>2</v>
      </c>
      <c r="Y2" t="n">
        <v>28</v>
      </c>
      <c r="Z2" t="n">
        <v>264</v>
      </c>
      <c r="AA2" t="n">
        <v>14</v>
      </c>
      <c r="AB2" t="n">
        <v>132</v>
      </c>
      <c r="AC2" t="n">
        <v>59</v>
      </c>
      <c r="AD2" t="n">
        <v>558</v>
      </c>
      <c r="AE2" t="n">
        <v>264</v>
      </c>
      <c r="AF2" t="n">
        <v>558</v>
      </c>
      <c r="AG2" t="n">
        <v>100</v>
      </c>
      <c r="AH2" t="n">
        <v>0</v>
      </c>
      <c r="AI2" t="n">
        <v>0</v>
      </c>
      <c r="AJ2" t="n">
        <v>0</v>
      </c>
      <c r="AK2" t="inlineStr">
        <is>
          <t>MDS</t>
        </is>
      </c>
      <c r="AL2" t="inlineStr">
        <is>
          <t>None</t>
        </is>
      </c>
      <c r="AM2" t="inlineStr">
        <is>
          <t>None</t>
        </is>
      </c>
      <c r="AN2" t="inlineStr">
        <is>
          <t>Healthy</t>
        </is>
      </c>
      <c r="AO2" t="inlineStr">
        <is>
          <t>C</t>
        </is>
      </c>
      <c r="AP2" t="inlineStr"/>
      <c r="AQ2">
        <f>IF(AM2="P1",100,IF(AM2="P2",67,IF(AM2="P3",33,0)))</f>
        <v/>
      </c>
      <c r="AR2">
        <f>MIN(100,INT(IF(AI2&gt;0,AI2/Z2,AJ2/AD2)*100))</f>
        <v/>
      </c>
      <c r="AS2">
        <f>IF(AI2+AJ2=0,0,INT(100/D2))</f>
        <v/>
      </c>
      <c r="AT2">
        <f>IF(AO2="A",100,IF(AO2="B",67,33))</f>
        <v/>
      </c>
      <c r="AU2">
        <f>ROUND(0.40*AQ2+0.30*AR2+0.20*AS2+0.10*AT2,0)</f>
        <v/>
      </c>
      <c r="AV2" t="inlineStr"/>
    </row>
    <row r="3">
      <c r="A3" t="inlineStr"/>
      <c r="B3" t="inlineStr">
        <is>
          <t>2026-04-17</t>
        </is>
      </c>
      <c r="C3" t="inlineStr">
        <is>
          <t>2026-02-15</t>
        </is>
      </c>
      <c r="D3" t="n">
        <v>2</v>
      </c>
      <c r="E3" t="inlineStr">
        <is>
          <t>SKU_0001</t>
        </is>
      </c>
      <c r="F3" t="inlineStr">
        <is>
          <t>DC1</t>
        </is>
      </c>
      <c r="G3" t="inlineStr">
        <is>
          <t>F1</t>
        </is>
      </c>
      <c r="H3" t="inlineStr">
        <is>
          <t>New York</t>
        </is>
      </c>
      <c r="I3" t="inlineStr">
        <is>
          <t>Northeast</t>
        </is>
      </c>
      <c r="J3" t="n">
        <v>40.7128</v>
      </c>
      <c r="K3" t="n">
        <v>-74.006</v>
      </c>
      <c r="L3" t="inlineStr">
        <is>
          <t>DC</t>
        </is>
      </c>
      <c r="M3" t="inlineStr">
        <is>
          <t>Medical Devices &amp; Diagnostics</t>
        </is>
      </c>
      <c r="N3" t="n">
        <v>396</v>
      </c>
      <c r="O3" t="n">
        <v>47</v>
      </c>
      <c r="P3" t="n">
        <v>0</v>
      </c>
      <c r="Q3" t="n">
        <v>47</v>
      </c>
      <c r="R3" t="n">
        <v>0</v>
      </c>
      <c r="S3" t="n">
        <v>105</v>
      </c>
      <c r="T3" t="n">
        <v>105</v>
      </c>
      <c r="U3" t="n">
        <v>0</v>
      </c>
      <c r="V3" t="n">
        <v>454</v>
      </c>
      <c r="W3" t="n">
        <v>67.59999999999999</v>
      </c>
      <c r="X3" t="n">
        <v>2</v>
      </c>
      <c r="Y3" t="n">
        <v>28</v>
      </c>
      <c r="Z3" t="n">
        <v>264</v>
      </c>
      <c r="AA3" t="n">
        <v>14</v>
      </c>
      <c r="AB3" t="n">
        <v>132</v>
      </c>
      <c r="AC3" t="n">
        <v>59</v>
      </c>
      <c r="AD3" t="n">
        <v>558</v>
      </c>
      <c r="AE3" t="n">
        <v>264</v>
      </c>
      <c r="AF3" t="n">
        <v>558</v>
      </c>
      <c r="AG3" t="n">
        <v>100</v>
      </c>
      <c r="AH3" t="n">
        <v>0</v>
      </c>
      <c r="AI3" t="n">
        <v>0</v>
      </c>
      <c r="AJ3" t="n">
        <v>0</v>
      </c>
      <c r="AK3" t="inlineStr">
        <is>
          <t>MDS</t>
        </is>
      </c>
      <c r="AL3" t="inlineStr">
        <is>
          <t>None</t>
        </is>
      </c>
      <c r="AM3" t="inlineStr">
        <is>
          <t>None</t>
        </is>
      </c>
      <c r="AN3" t="inlineStr">
        <is>
          <t>Healthy</t>
        </is>
      </c>
      <c r="AO3" t="inlineStr">
        <is>
          <t>C</t>
        </is>
      </c>
      <c r="AP3" t="inlineStr"/>
      <c r="AQ3">
        <f>IF(AM3="P1",100,IF(AM3="P2",67,IF(AM3="P3",33,0)))</f>
        <v/>
      </c>
      <c r="AR3">
        <f>MIN(100,INT(IF(AI3&gt;0,AI3/Z3,AJ3/AD3)*100))</f>
        <v/>
      </c>
      <c r="AS3">
        <f>IF(AI3+AJ3=0,0,INT(100/D3))</f>
        <v/>
      </c>
      <c r="AT3">
        <f>IF(AO3="A",100,IF(AO3="B",67,33))</f>
        <v/>
      </c>
      <c r="AU3">
        <f>ROUND(0.40*AQ3+0.30*AR3+0.20*AS3+0.10*AT3,0)</f>
        <v/>
      </c>
      <c r="AV3" t="inlineStr"/>
    </row>
    <row r="4">
      <c r="A4" t="inlineStr">
        <is>
          <t>BD-24536581-00001</t>
        </is>
      </c>
      <c r="B4" t="inlineStr">
        <is>
          <t>2026-04-17</t>
        </is>
      </c>
      <c r="C4" t="inlineStr">
        <is>
          <t>2026-02-22</t>
        </is>
      </c>
      <c r="D4" t="n">
        <v>3</v>
      </c>
      <c r="E4" t="inlineStr">
        <is>
          <t>SKU_0001</t>
        </is>
      </c>
      <c r="F4" t="inlineStr">
        <is>
          <t>DC1</t>
        </is>
      </c>
      <c r="G4" t="inlineStr">
        <is>
          <t>F1</t>
        </is>
      </c>
      <c r="H4" t="inlineStr">
        <is>
          <t>New York</t>
        </is>
      </c>
      <c r="I4" t="inlineStr">
        <is>
          <t>Northeast</t>
        </is>
      </c>
      <c r="J4" t="n">
        <v>40.7128</v>
      </c>
      <c r="K4" t="n">
        <v>-74.006</v>
      </c>
      <c r="L4" t="inlineStr">
        <is>
          <t>DC</t>
        </is>
      </c>
      <c r="M4" t="inlineStr">
        <is>
          <t>Medical Devices &amp; Diagnostics</t>
        </is>
      </c>
      <c r="N4" t="n">
        <v>454</v>
      </c>
      <c r="O4" t="n">
        <v>58</v>
      </c>
      <c r="P4" t="n">
        <v>0</v>
      </c>
      <c r="Q4" t="n">
        <v>58</v>
      </c>
      <c r="R4" t="n">
        <v>0</v>
      </c>
      <c r="S4" t="n">
        <v>166</v>
      </c>
      <c r="T4" t="n">
        <v>166</v>
      </c>
      <c r="U4" t="n">
        <v>0</v>
      </c>
      <c r="V4" t="n">
        <v>562</v>
      </c>
      <c r="W4" t="n">
        <v>67.8</v>
      </c>
      <c r="X4" t="n">
        <v>2</v>
      </c>
      <c r="Y4" t="n">
        <v>28</v>
      </c>
      <c r="Z4" t="n">
        <v>264</v>
      </c>
      <c r="AA4" t="n">
        <v>14</v>
      </c>
      <c r="AB4" t="n">
        <v>132</v>
      </c>
      <c r="AC4" t="n">
        <v>59</v>
      </c>
      <c r="AD4" t="n">
        <v>558</v>
      </c>
      <c r="AE4" t="n">
        <v>264</v>
      </c>
      <c r="AF4" t="n">
        <v>558</v>
      </c>
      <c r="AG4" t="n">
        <v>100</v>
      </c>
      <c r="AH4" t="n">
        <v>0</v>
      </c>
      <c r="AI4" t="n">
        <v>0</v>
      </c>
      <c r="AJ4" t="n">
        <v>4</v>
      </c>
      <c r="AK4" t="inlineStr">
        <is>
          <t>MDS</t>
        </is>
      </c>
      <c r="AL4" t="inlineStr">
        <is>
          <t>Low ESTN</t>
        </is>
      </c>
      <c r="AM4" t="inlineStr">
        <is>
          <t>P2</t>
        </is>
      </c>
      <c r="AN4" t="inlineStr">
        <is>
          <t>At-Risk Excess</t>
        </is>
      </c>
      <c r="AO4" t="inlineStr">
        <is>
          <t>C</t>
        </is>
      </c>
      <c r="AP4" t="inlineStr"/>
      <c r="AQ4">
        <f>IF(AM4="P1",100,IF(AM4="P2",67,IF(AM4="P3",33,0)))</f>
        <v/>
      </c>
      <c r="AR4">
        <f>MIN(100,INT(IF(AI4&gt;0,AI4/Z4,AJ4/AD4)*100))</f>
        <v/>
      </c>
      <c r="AS4">
        <f>IF(AI4+AJ4=0,0,INT(100/D4))</f>
        <v/>
      </c>
      <c r="AT4">
        <f>IF(AO4="A",100,IF(AO4="B",67,33))</f>
        <v/>
      </c>
      <c r="AU4">
        <f>ROUND(0.40*AQ4+0.30*AR4+0.20*AS4+0.10*AT4,0)</f>
        <v/>
      </c>
      <c r="AV4" t="inlineStr">
        <is>
          <t>Opening inventory of 454 and supply of 166 exceed the demand of 58, resulting in a projected surplus of 562. This inventory levels violates the maximum stock threshold of 558 units by 4 units, increasing holding risk.</t>
        </is>
      </c>
    </row>
    <row r="5">
      <c r="A5" t="inlineStr"/>
      <c r="B5" t="inlineStr">
        <is>
          <t>2026-04-17</t>
        </is>
      </c>
      <c r="C5" t="inlineStr">
        <is>
          <t>2026-03-01</t>
        </is>
      </c>
      <c r="D5" t="n">
        <v>4</v>
      </c>
      <c r="E5" t="inlineStr">
        <is>
          <t>SKU_0001</t>
        </is>
      </c>
      <c r="F5" t="inlineStr">
        <is>
          <t>DC1</t>
        </is>
      </c>
      <c r="G5" t="inlineStr">
        <is>
          <t>F1</t>
        </is>
      </c>
      <c r="H5" t="inlineStr">
        <is>
          <t>New York</t>
        </is>
      </c>
      <c r="I5" t="inlineStr">
        <is>
          <t>Northeast</t>
        </is>
      </c>
      <c r="J5" t="n">
        <v>40.7128</v>
      </c>
      <c r="K5" t="n">
        <v>-74.006</v>
      </c>
      <c r="L5" t="inlineStr">
        <is>
          <t>DC</t>
        </is>
      </c>
      <c r="M5" t="inlineStr">
        <is>
          <t>Medical Devices &amp; Diagnostics</t>
        </is>
      </c>
      <c r="N5" t="n">
        <v>562</v>
      </c>
      <c r="O5" t="n">
        <v>78</v>
      </c>
      <c r="P5" t="n">
        <v>0</v>
      </c>
      <c r="Q5" t="n">
        <v>78</v>
      </c>
      <c r="R5" t="n">
        <v>131</v>
      </c>
      <c r="S5" t="n">
        <v>0</v>
      </c>
      <c r="T5" t="n">
        <v>131</v>
      </c>
      <c r="U5" t="n">
        <v>0</v>
      </c>
      <c r="V5" t="n">
        <v>615</v>
      </c>
      <c r="W5" t="n">
        <v>55.2</v>
      </c>
      <c r="X5" t="n">
        <v>2</v>
      </c>
      <c r="Y5" t="n">
        <v>28</v>
      </c>
      <c r="Z5" t="n">
        <v>264</v>
      </c>
      <c r="AA5" t="n">
        <v>14</v>
      </c>
      <c r="AB5" t="n">
        <v>132</v>
      </c>
      <c r="AC5" t="n">
        <v>59</v>
      </c>
      <c r="AD5" t="n">
        <v>558</v>
      </c>
      <c r="AE5" t="n">
        <v>264</v>
      </c>
      <c r="AF5" t="n">
        <v>558</v>
      </c>
      <c r="AG5" t="n">
        <v>100</v>
      </c>
      <c r="AH5" t="n">
        <v>10</v>
      </c>
      <c r="AI5" t="n">
        <v>0</v>
      </c>
      <c r="AJ5" t="n">
        <v>57</v>
      </c>
      <c r="AK5" t="inlineStr">
        <is>
          <t>MDS</t>
        </is>
      </c>
      <c r="AL5" t="inlineStr">
        <is>
          <t>None</t>
        </is>
      </c>
      <c r="AM5" t="inlineStr">
        <is>
          <t>None</t>
        </is>
      </c>
      <c r="AN5" t="inlineStr">
        <is>
          <t>Healthy</t>
        </is>
      </c>
      <c r="AO5" t="inlineStr">
        <is>
          <t>C</t>
        </is>
      </c>
      <c r="AP5" t="inlineStr"/>
      <c r="AQ5">
        <f>IF(AM5="P1",100,IF(AM5="P2",67,IF(AM5="P3",33,0)))</f>
        <v/>
      </c>
      <c r="AR5">
        <f>MIN(100,INT(IF(AI5&gt;0,AI5/Z5,AJ5/AD5)*100))</f>
        <v/>
      </c>
      <c r="AS5">
        <f>IF(AI5+AJ5=0,0,INT(100/D5))</f>
        <v/>
      </c>
      <c r="AT5">
        <f>IF(AO5="A",100,IF(AO5="B",67,33))</f>
        <v/>
      </c>
      <c r="AU5">
        <f>ROUND(0.40*AQ5+0.30*AR5+0.20*AS5+0.10*AT5,0)</f>
        <v/>
      </c>
      <c r="AV5" t="inlineStr"/>
    </row>
    <row r="6">
      <c r="A6" t="inlineStr">
        <is>
          <t>BD-24536581-00002</t>
        </is>
      </c>
      <c r="B6" t="inlineStr">
        <is>
          <t>2026-04-17</t>
        </is>
      </c>
      <c r="C6" t="inlineStr">
        <is>
          <t>2026-03-08</t>
        </is>
      </c>
      <c r="D6" t="n">
        <v>5</v>
      </c>
      <c r="E6" t="inlineStr">
        <is>
          <t>SKU_0001</t>
        </is>
      </c>
      <c r="F6" t="inlineStr">
        <is>
          <t>DC1</t>
        </is>
      </c>
      <c r="G6" t="inlineStr">
        <is>
          <t>F1</t>
        </is>
      </c>
      <c r="H6" t="inlineStr">
        <is>
          <t>New York</t>
        </is>
      </c>
      <c r="I6" t="inlineStr">
        <is>
          <t>Northeast</t>
        </is>
      </c>
      <c r="J6" t="n">
        <v>40.7128</v>
      </c>
      <c r="K6" t="n">
        <v>-74.006</v>
      </c>
      <c r="L6" t="inlineStr">
        <is>
          <t>DC</t>
        </is>
      </c>
      <c r="M6" t="inlineStr">
        <is>
          <t>Medical Devices &amp; Diagnostics</t>
        </is>
      </c>
      <c r="N6" t="n">
        <v>615</v>
      </c>
      <c r="O6" t="n">
        <v>76</v>
      </c>
      <c r="P6" t="n">
        <v>0</v>
      </c>
      <c r="Q6" t="n">
        <v>76</v>
      </c>
      <c r="R6" t="n">
        <v>0</v>
      </c>
      <c r="S6" t="n">
        <v>401</v>
      </c>
      <c r="T6" t="n">
        <v>401</v>
      </c>
      <c r="U6" t="n">
        <v>0</v>
      </c>
      <c r="V6" t="n">
        <v>940</v>
      </c>
      <c r="W6" t="n">
        <v>86.59999999999999</v>
      </c>
      <c r="X6" t="n">
        <v>2</v>
      </c>
      <c r="Y6" t="n">
        <v>28</v>
      </c>
      <c r="Z6" t="n">
        <v>264</v>
      </c>
      <c r="AA6" t="n">
        <v>14</v>
      </c>
      <c r="AB6" t="n">
        <v>132</v>
      </c>
      <c r="AC6" t="n">
        <v>59</v>
      </c>
      <c r="AD6" t="n">
        <v>558</v>
      </c>
      <c r="AE6" t="n">
        <v>264</v>
      </c>
      <c r="AF6" t="n">
        <v>558</v>
      </c>
      <c r="AG6" t="n">
        <v>100</v>
      </c>
      <c r="AH6" t="n">
        <v>68</v>
      </c>
      <c r="AI6" t="n">
        <v>0</v>
      </c>
      <c r="AJ6" t="n">
        <v>382</v>
      </c>
      <c r="AK6" t="inlineStr">
        <is>
          <t>MDS</t>
        </is>
      </c>
      <c r="AL6" t="inlineStr">
        <is>
          <t>High ESTN</t>
        </is>
      </c>
      <c r="AM6" t="inlineStr">
        <is>
          <t>P1</t>
        </is>
      </c>
      <c r="AN6" t="inlineStr">
        <is>
          <t>Critical Excess</t>
        </is>
      </c>
      <c r="AO6" t="inlineStr">
        <is>
          <t>C</t>
        </is>
      </c>
      <c r="AP6" t="inlineStr"/>
      <c r="AQ6">
        <f>IF(AM6="P1",100,IF(AM6="P2",67,IF(AM6="P3",33,0)))</f>
        <v/>
      </c>
      <c r="AR6">
        <f>MIN(100,INT(IF(AI6&gt;0,AI6/Z6,AJ6/AD6)*100))</f>
        <v/>
      </c>
      <c r="AS6">
        <f>IF(AI6+AJ6=0,0,INT(100/D6))</f>
        <v/>
      </c>
      <c r="AT6">
        <f>IF(AO6="A",100,IF(AO6="B",67,33))</f>
        <v/>
      </c>
      <c r="AU6">
        <f>ROUND(0.40*AQ6+0.30*AR6+0.20*AS6+0.10*AT6,0)</f>
        <v/>
      </c>
      <c r="AV6" t="inlineStr">
        <is>
          <t>Opening inventory of 615 and supply of 401 exceed the demand of 76, resulting in a projected surplus of 940. This inventory levels violates the maximum stock threshold of 558 units by 382 units, increasing holding risk.</t>
        </is>
      </c>
    </row>
    <row r="7">
      <c r="A7" t="inlineStr">
        <is>
          <t>BD-24536581-00003</t>
        </is>
      </c>
      <c r="B7" t="inlineStr">
        <is>
          <t>2026-04-17</t>
        </is>
      </c>
      <c r="C7" t="inlineStr">
        <is>
          <t>2026-03-15</t>
        </is>
      </c>
      <c r="D7" t="n">
        <v>6</v>
      </c>
      <c r="E7" t="inlineStr">
        <is>
          <t>SKU_0001</t>
        </is>
      </c>
      <c r="F7" t="inlineStr">
        <is>
          <t>DC1</t>
        </is>
      </c>
      <c r="G7" t="inlineStr">
        <is>
          <t>F1</t>
        </is>
      </c>
      <c r="H7" t="inlineStr">
        <is>
          <t>New York</t>
        </is>
      </c>
      <c r="I7" t="inlineStr">
        <is>
          <t>Northeast</t>
        </is>
      </c>
      <c r="J7" t="n">
        <v>40.7128</v>
      </c>
      <c r="K7" t="n">
        <v>-74.006</v>
      </c>
      <c r="L7" t="inlineStr">
        <is>
          <t>DC</t>
        </is>
      </c>
      <c r="M7" t="inlineStr">
        <is>
          <t>Medical Devices &amp; Diagnostics</t>
        </is>
      </c>
      <c r="N7" t="n">
        <v>940</v>
      </c>
      <c r="O7" t="n">
        <v>49</v>
      </c>
      <c r="P7" t="n">
        <v>0</v>
      </c>
      <c r="Q7" t="n">
        <v>49</v>
      </c>
      <c r="R7" t="n">
        <v>193</v>
      </c>
      <c r="S7" t="n">
        <v>0</v>
      </c>
      <c r="T7" t="n">
        <v>193</v>
      </c>
      <c r="U7" t="n">
        <v>0</v>
      </c>
      <c r="V7" t="n">
        <v>1084</v>
      </c>
      <c r="W7" t="n">
        <v>154.9</v>
      </c>
      <c r="X7" t="n">
        <v>2</v>
      </c>
      <c r="Y7" t="n">
        <v>28</v>
      </c>
      <c r="Z7" t="n">
        <v>264</v>
      </c>
      <c r="AA7" t="n">
        <v>14</v>
      </c>
      <c r="AB7" t="n">
        <v>132</v>
      </c>
      <c r="AC7" t="n">
        <v>59</v>
      </c>
      <c r="AD7" t="n">
        <v>558</v>
      </c>
      <c r="AE7" t="n">
        <v>264</v>
      </c>
      <c r="AF7" t="n">
        <v>558</v>
      </c>
      <c r="AG7" t="n">
        <v>100</v>
      </c>
      <c r="AH7" t="n">
        <v>94</v>
      </c>
      <c r="AI7" t="n">
        <v>0</v>
      </c>
      <c r="AJ7" t="n">
        <v>526</v>
      </c>
      <c r="AK7" t="inlineStr">
        <is>
          <t>MDS</t>
        </is>
      </c>
      <c r="AL7" t="inlineStr">
        <is>
          <t>High ESTN</t>
        </is>
      </c>
      <c r="AM7" t="inlineStr">
        <is>
          <t>P1</t>
        </is>
      </c>
      <c r="AN7" t="inlineStr">
        <is>
          <t>Critical Excess</t>
        </is>
      </c>
      <c r="AO7" t="inlineStr">
        <is>
          <t>C</t>
        </is>
      </c>
      <c r="AP7" t="inlineStr"/>
      <c r="AQ7">
        <f>IF(AM7="P1",100,IF(AM7="P2",67,IF(AM7="P3",33,0)))</f>
        <v/>
      </c>
      <c r="AR7">
        <f>MIN(100,INT(IF(AI7&gt;0,AI7/Z7,AJ7/AD7)*100))</f>
        <v/>
      </c>
      <c r="AS7">
        <f>IF(AI7+AJ7=0,0,INT(100/D7))</f>
        <v/>
      </c>
      <c r="AT7">
        <f>IF(AO7="A",100,IF(AO7="B",67,33))</f>
        <v/>
      </c>
      <c r="AU7">
        <f>ROUND(0.40*AQ7+0.30*AR7+0.20*AS7+0.10*AT7,0)</f>
        <v/>
      </c>
      <c r="AV7" t="inlineStr">
        <is>
          <t>Opening inventory of 940 and supply of 0 exceed the demand of 49, resulting in a projected surplus of 1084. This inventory levels violates the maximum stock threshold of 558 units by 526 units, increasing holding risk.</t>
        </is>
      </c>
    </row>
    <row r="8">
      <c r="A8" t="inlineStr">
        <is>
          <t>BD-24536581-00004</t>
        </is>
      </c>
      <c r="B8" t="inlineStr">
        <is>
          <t>2026-04-17</t>
        </is>
      </c>
      <c r="C8" t="inlineStr">
        <is>
          <t>2026-03-22</t>
        </is>
      </c>
      <c r="D8" t="n">
        <v>7</v>
      </c>
      <c r="E8" t="inlineStr">
        <is>
          <t>SKU_0001</t>
        </is>
      </c>
      <c r="F8" t="inlineStr">
        <is>
          <t>DC1</t>
        </is>
      </c>
      <c r="G8" t="inlineStr">
        <is>
          <t>F1</t>
        </is>
      </c>
      <c r="H8" t="inlineStr">
        <is>
          <t>New York</t>
        </is>
      </c>
      <c r="I8" t="inlineStr">
        <is>
          <t>Northeast</t>
        </is>
      </c>
      <c r="J8" t="n">
        <v>40.7128</v>
      </c>
      <c r="K8" t="n">
        <v>-74.006</v>
      </c>
      <c r="L8" t="inlineStr">
        <is>
          <t>DC</t>
        </is>
      </c>
      <c r="M8" t="inlineStr">
        <is>
          <t>Medical Devices &amp; Diagnostics</t>
        </is>
      </c>
      <c r="N8" t="n">
        <v>1084</v>
      </c>
      <c r="O8" t="n">
        <v>68</v>
      </c>
      <c r="P8" t="n">
        <v>0</v>
      </c>
      <c r="Q8" t="n">
        <v>68</v>
      </c>
      <c r="R8" t="n">
        <v>91</v>
      </c>
      <c r="S8" t="n">
        <v>0</v>
      </c>
      <c r="T8" t="n">
        <v>91</v>
      </c>
      <c r="U8" t="n">
        <v>0</v>
      </c>
      <c r="V8" t="n">
        <v>1107</v>
      </c>
      <c r="W8" t="n">
        <v>114</v>
      </c>
      <c r="X8" t="n">
        <v>2</v>
      </c>
      <c r="Y8" t="n">
        <v>28</v>
      </c>
      <c r="Z8" t="n">
        <v>264</v>
      </c>
      <c r="AA8" t="n">
        <v>14</v>
      </c>
      <c r="AB8" t="n">
        <v>132</v>
      </c>
      <c r="AC8" t="n">
        <v>59</v>
      </c>
      <c r="AD8" t="n">
        <v>558</v>
      </c>
      <c r="AE8" t="n">
        <v>264</v>
      </c>
      <c r="AF8" t="n">
        <v>558</v>
      </c>
      <c r="AG8" t="n">
        <v>100</v>
      </c>
      <c r="AH8" t="n">
        <v>98</v>
      </c>
      <c r="AI8" t="n">
        <v>0</v>
      </c>
      <c r="AJ8" t="n">
        <v>549</v>
      </c>
      <c r="AK8" t="inlineStr">
        <is>
          <t>MDS</t>
        </is>
      </c>
      <c r="AL8" t="inlineStr">
        <is>
          <t>High ESTN</t>
        </is>
      </c>
      <c r="AM8" t="inlineStr">
        <is>
          <t>P1</t>
        </is>
      </c>
      <c r="AN8" t="inlineStr">
        <is>
          <t>Critical Excess</t>
        </is>
      </c>
      <c r="AO8" t="inlineStr">
        <is>
          <t>C</t>
        </is>
      </c>
      <c r="AP8" t="inlineStr"/>
      <c r="AQ8">
        <f>IF(AM8="P1",100,IF(AM8="P2",67,IF(AM8="P3",33,0)))</f>
        <v/>
      </c>
      <c r="AR8">
        <f>MIN(100,INT(IF(AI8&gt;0,AI8/Z8,AJ8/AD8)*100))</f>
        <v/>
      </c>
      <c r="AS8">
        <f>IF(AI8+AJ8=0,0,INT(100/D8))</f>
        <v/>
      </c>
      <c r="AT8">
        <f>IF(AO8="A",100,IF(AO8="B",67,33))</f>
        <v/>
      </c>
      <c r="AU8">
        <f>ROUND(0.40*AQ8+0.30*AR8+0.20*AS8+0.10*AT8,0)</f>
        <v/>
      </c>
      <c r="AV8" t="inlineStr">
        <is>
          <t>Opening inventory of 1084 and supply of 0 exceed the demand of 68, resulting in a projected surplus of 1107. This inventory levels violates the maximum stock threshold of 558 units by 549 units, increasing holding risk.</t>
        </is>
      </c>
    </row>
    <row r="9">
      <c r="A9" t="inlineStr">
        <is>
          <t>BD-24536581-00005</t>
        </is>
      </c>
      <c r="B9" t="inlineStr">
        <is>
          <t>2026-04-17</t>
        </is>
      </c>
      <c r="C9" t="inlineStr">
        <is>
          <t>2026-03-29</t>
        </is>
      </c>
      <c r="D9" t="n">
        <v>8</v>
      </c>
      <c r="E9" t="inlineStr">
        <is>
          <t>SKU_0001</t>
        </is>
      </c>
      <c r="F9" t="inlineStr">
        <is>
          <t>DC1</t>
        </is>
      </c>
      <c r="G9" t="inlineStr">
        <is>
          <t>F1</t>
        </is>
      </c>
      <c r="H9" t="inlineStr">
        <is>
          <t>New York</t>
        </is>
      </c>
      <c r="I9" t="inlineStr">
        <is>
          <t>Northeast</t>
        </is>
      </c>
      <c r="J9" t="n">
        <v>40.7128</v>
      </c>
      <c r="K9" t="n">
        <v>-74.006</v>
      </c>
      <c r="L9" t="inlineStr">
        <is>
          <t>DC</t>
        </is>
      </c>
      <c r="M9" t="inlineStr">
        <is>
          <t>Medical Devices &amp; Diagnostics</t>
        </is>
      </c>
      <c r="N9" t="n">
        <v>1107</v>
      </c>
      <c r="O9" t="n">
        <v>77</v>
      </c>
      <c r="P9" t="n">
        <v>0</v>
      </c>
      <c r="Q9" t="n">
        <v>77</v>
      </c>
      <c r="R9" t="n">
        <v>0</v>
      </c>
      <c r="S9" t="n">
        <v>131</v>
      </c>
      <c r="T9" t="n">
        <v>131</v>
      </c>
      <c r="U9" t="n">
        <v>0</v>
      </c>
      <c r="V9" t="n">
        <v>1161</v>
      </c>
      <c r="W9" t="n">
        <v>105.5</v>
      </c>
      <c r="X9" t="n">
        <v>2</v>
      </c>
      <c r="Y9" t="n">
        <v>28</v>
      </c>
      <c r="Z9" t="n">
        <v>264</v>
      </c>
      <c r="AA9" t="n">
        <v>14</v>
      </c>
      <c r="AB9" t="n">
        <v>132</v>
      </c>
      <c r="AC9" t="n">
        <v>59</v>
      </c>
      <c r="AD9" t="n">
        <v>558</v>
      </c>
      <c r="AE9" t="n">
        <v>264</v>
      </c>
      <c r="AF9" t="n">
        <v>558</v>
      </c>
      <c r="AG9" t="n">
        <v>100</v>
      </c>
      <c r="AH9" t="n">
        <v>108</v>
      </c>
      <c r="AI9" t="n">
        <v>0</v>
      </c>
      <c r="AJ9" t="n">
        <v>603</v>
      </c>
      <c r="AK9" t="inlineStr">
        <is>
          <t>MDS</t>
        </is>
      </c>
      <c r="AL9" t="inlineStr">
        <is>
          <t>High ESTN</t>
        </is>
      </c>
      <c r="AM9" t="inlineStr">
        <is>
          <t>P1</t>
        </is>
      </c>
      <c r="AN9" t="inlineStr">
        <is>
          <t>Critical Excess</t>
        </is>
      </c>
      <c r="AO9" t="inlineStr">
        <is>
          <t>C</t>
        </is>
      </c>
      <c r="AP9" t="inlineStr"/>
      <c r="AQ9">
        <f>IF(AM9="P1",100,IF(AM9="P2",67,IF(AM9="P3",33,0)))</f>
        <v/>
      </c>
      <c r="AR9">
        <f>MIN(100,INT(IF(AI9&gt;0,AI9/Z9,AJ9/AD9)*100))</f>
        <v/>
      </c>
      <c r="AS9">
        <f>IF(AI9+AJ9=0,0,INT(100/D9))</f>
        <v/>
      </c>
      <c r="AT9">
        <f>IF(AO9="A",100,IF(AO9="B",67,33))</f>
        <v/>
      </c>
      <c r="AU9">
        <f>ROUND(0.40*AQ9+0.30*AR9+0.20*AS9+0.10*AT9,0)</f>
        <v/>
      </c>
      <c r="AV9" t="inlineStr">
        <is>
          <t>Opening inventory of 1107 and supply of 131 exceed the demand of 77, resulting in a projected surplus of 1161. This inventory levels violates the maximum stock threshold of 558 units by 603 units, increasing holding risk.</t>
        </is>
      </c>
    </row>
    <row r="10">
      <c r="A10" t="inlineStr">
        <is>
          <t>BD-24536581-00006</t>
        </is>
      </c>
      <c r="B10" t="inlineStr">
        <is>
          <t>2026-04-17</t>
        </is>
      </c>
      <c r="C10" t="inlineStr">
        <is>
          <t>2026-04-05</t>
        </is>
      </c>
      <c r="D10" t="n">
        <v>9</v>
      </c>
      <c r="E10" t="inlineStr">
        <is>
          <t>SKU_0001</t>
        </is>
      </c>
      <c r="F10" t="inlineStr">
        <is>
          <t>DC1</t>
        </is>
      </c>
      <c r="G10" t="inlineStr">
        <is>
          <t>F1</t>
        </is>
      </c>
      <c r="H10" t="inlineStr">
        <is>
          <t>New York</t>
        </is>
      </c>
      <c r="I10" t="inlineStr">
        <is>
          <t>Northeast</t>
        </is>
      </c>
      <c r="J10" t="n">
        <v>40.7128</v>
      </c>
      <c r="K10" t="n">
        <v>-74.006</v>
      </c>
      <c r="L10" t="inlineStr">
        <is>
          <t>DC</t>
        </is>
      </c>
      <c r="M10" t="inlineStr">
        <is>
          <t>Medical Devices &amp; Diagnostics</t>
        </is>
      </c>
      <c r="N10" t="n">
        <v>1161</v>
      </c>
      <c r="O10" t="n">
        <v>46</v>
      </c>
      <c r="P10" t="n">
        <v>0</v>
      </c>
      <c r="Q10" t="n">
        <v>46</v>
      </c>
      <c r="R10" t="n">
        <v>0</v>
      </c>
      <c r="S10" t="n">
        <v>0</v>
      </c>
      <c r="T10" t="n">
        <v>0</v>
      </c>
      <c r="U10" t="n">
        <v>0</v>
      </c>
      <c r="V10" t="n">
        <v>1115</v>
      </c>
      <c r="W10" t="n">
        <v>169.7</v>
      </c>
      <c r="X10" t="n">
        <v>2</v>
      </c>
      <c r="Y10" t="n">
        <v>28</v>
      </c>
      <c r="Z10" t="n">
        <v>264</v>
      </c>
      <c r="AA10" t="n">
        <v>14</v>
      </c>
      <c r="AB10" t="n">
        <v>132</v>
      </c>
      <c r="AC10" t="n">
        <v>59</v>
      </c>
      <c r="AD10" t="n">
        <v>558</v>
      </c>
      <c r="AE10" t="n">
        <v>264</v>
      </c>
      <c r="AF10" t="n">
        <v>558</v>
      </c>
      <c r="AG10" t="n">
        <v>100</v>
      </c>
      <c r="AH10" t="n">
        <v>99</v>
      </c>
      <c r="AI10" t="n">
        <v>0</v>
      </c>
      <c r="AJ10" t="n">
        <v>557</v>
      </c>
      <c r="AK10" t="inlineStr">
        <is>
          <t>MDS</t>
        </is>
      </c>
      <c r="AL10" t="inlineStr">
        <is>
          <t>High ESTN</t>
        </is>
      </c>
      <c r="AM10" t="inlineStr">
        <is>
          <t>P1</t>
        </is>
      </c>
      <c r="AN10" t="inlineStr">
        <is>
          <t>Critical Excess</t>
        </is>
      </c>
      <c r="AO10" t="inlineStr">
        <is>
          <t>C</t>
        </is>
      </c>
      <c r="AP10" t="inlineStr"/>
      <c r="AQ10">
        <f>IF(AM10="P1",100,IF(AM10="P2",67,IF(AM10="P3",33,0)))</f>
        <v/>
      </c>
      <c r="AR10">
        <f>MIN(100,INT(IF(AI10&gt;0,AI10/Z10,AJ10/AD10)*100))</f>
        <v/>
      </c>
      <c r="AS10">
        <f>IF(AI10+AJ10=0,0,INT(100/D10))</f>
        <v/>
      </c>
      <c r="AT10">
        <f>IF(AO10="A",100,IF(AO10="B",67,33))</f>
        <v/>
      </c>
      <c r="AU10">
        <f>ROUND(0.40*AQ10+0.30*AR10+0.20*AS10+0.10*AT10,0)</f>
        <v/>
      </c>
      <c r="AV10" t="inlineStr">
        <is>
          <t>Opening inventory of 1161 and supply of 0 exceed the demand of 46, resulting in a projected surplus of 1115. This inventory levels violates the maximum stock threshold of 558 units by 557 units, increasing holding risk.</t>
        </is>
      </c>
    </row>
    <row r="11">
      <c r="A11" t="inlineStr">
        <is>
          <t>BD-24536581-00007</t>
        </is>
      </c>
      <c r="B11" t="inlineStr">
        <is>
          <t>2026-04-17</t>
        </is>
      </c>
      <c r="C11" t="inlineStr">
        <is>
          <t>2026-04-12</t>
        </is>
      </c>
      <c r="D11" t="n">
        <v>10</v>
      </c>
      <c r="E11" t="inlineStr">
        <is>
          <t>SKU_0001</t>
        </is>
      </c>
      <c r="F11" t="inlineStr">
        <is>
          <t>DC1</t>
        </is>
      </c>
      <c r="G11" t="inlineStr">
        <is>
          <t>F1</t>
        </is>
      </c>
      <c r="H11" t="inlineStr">
        <is>
          <t>New York</t>
        </is>
      </c>
      <c r="I11" t="inlineStr">
        <is>
          <t>Northeast</t>
        </is>
      </c>
      <c r="J11" t="n">
        <v>40.7128</v>
      </c>
      <c r="K11" t="n">
        <v>-74.006</v>
      </c>
      <c r="L11" t="inlineStr">
        <is>
          <t>DC</t>
        </is>
      </c>
      <c r="M11" t="inlineStr">
        <is>
          <t>Medical Devices &amp; Diagnostics</t>
        </is>
      </c>
      <c r="N11" t="n">
        <v>1115</v>
      </c>
      <c r="O11" t="n">
        <v>56</v>
      </c>
      <c r="P11" t="n">
        <v>0</v>
      </c>
      <c r="Q11" t="n">
        <v>56</v>
      </c>
      <c r="R11" t="n">
        <v>0</v>
      </c>
      <c r="S11" t="n">
        <v>407</v>
      </c>
      <c r="T11" t="n">
        <v>407</v>
      </c>
      <c r="U11" t="n">
        <v>0</v>
      </c>
      <c r="V11" t="n">
        <v>1466</v>
      </c>
      <c r="W11" t="n">
        <v>183.2</v>
      </c>
      <c r="X11" t="n">
        <v>2</v>
      </c>
      <c r="Y11" t="n">
        <v>28</v>
      </c>
      <c r="Z11" t="n">
        <v>264</v>
      </c>
      <c r="AA11" t="n">
        <v>14</v>
      </c>
      <c r="AB11" t="n">
        <v>132</v>
      </c>
      <c r="AC11" t="n">
        <v>59</v>
      </c>
      <c r="AD11" t="n">
        <v>558</v>
      </c>
      <c r="AE11" t="n">
        <v>264</v>
      </c>
      <c r="AF11" t="n">
        <v>558</v>
      </c>
      <c r="AG11" t="n">
        <v>100</v>
      </c>
      <c r="AH11" t="n">
        <v>162</v>
      </c>
      <c r="AI11" t="n">
        <v>0</v>
      </c>
      <c r="AJ11" t="n">
        <v>908</v>
      </c>
      <c r="AK11" t="inlineStr">
        <is>
          <t>MDS</t>
        </is>
      </c>
      <c r="AL11" t="inlineStr">
        <is>
          <t>High ESTN</t>
        </is>
      </c>
      <c r="AM11" t="inlineStr">
        <is>
          <t>P1</t>
        </is>
      </c>
      <c r="AN11" t="inlineStr">
        <is>
          <t>Critical Excess</t>
        </is>
      </c>
      <c r="AO11" t="inlineStr">
        <is>
          <t>C</t>
        </is>
      </c>
      <c r="AP11" t="inlineStr"/>
      <c r="AQ11">
        <f>IF(AM11="P1",100,IF(AM11="P2",67,IF(AM11="P3",33,0)))</f>
        <v/>
      </c>
      <c r="AR11">
        <f>MIN(100,INT(IF(AI11&gt;0,AI11/Z11,AJ11/AD11)*100))</f>
        <v/>
      </c>
      <c r="AS11">
        <f>IF(AI11+AJ11=0,0,INT(100/D11))</f>
        <v/>
      </c>
      <c r="AT11">
        <f>IF(AO11="A",100,IF(AO11="B",67,33))</f>
        <v/>
      </c>
      <c r="AU11">
        <f>ROUND(0.40*AQ11+0.30*AR11+0.20*AS11+0.10*AT11,0)</f>
        <v/>
      </c>
      <c r="AV11" t="inlineStr">
        <is>
          <t>Opening inventory of 1115 and supply of 407 exceed the demand of 56, resulting in a projected surplus of 1466. This inventory levels violates the maximum stock threshold of 558 units by 908 units, increasing holding risk.</t>
        </is>
      </c>
    </row>
    <row r="12">
      <c r="A12" t="inlineStr">
        <is>
          <t>BD-24536581-00008</t>
        </is>
      </c>
      <c r="B12" t="inlineStr">
        <is>
          <t>2026-04-17</t>
        </is>
      </c>
      <c r="C12" t="inlineStr">
        <is>
          <t>2026-04-19</t>
        </is>
      </c>
      <c r="D12" t="n">
        <v>11</v>
      </c>
      <c r="E12" t="inlineStr">
        <is>
          <t>SKU_0001</t>
        </is>
      </c>
      <c r="F12" t="inlineStr">
        <is>
          <t>DC1</t>
        </is>
      </c>
      <c r="G12" t="inlineStr">
        <is>
          <t>F1</t>
        </is>
      </c>
      <c r="H12" t="inlineStr">
        <is>
          <t>New York</t>
        </is>
      </c>
      <c r="I12" t="inlineStr">
        <is>
          <t>Northeast</t>
        </is>
      </c>
      <c r="J12" t="n">
        <v>40.7128</v>
      </c>
      <c r="K12" t="n">
        <v>-74.006</v>
      </c>
      <c r="L12" t="inlineStr">
        <is>
          <t>DC</t>
        </is>
      </c>
      <c r="M12" t="inlineStr">
        <is>
          <t>Medical Devices &amp; Diagnostics</t>
        </is>
      </c>
      <c r="N12" t="n">
        <v>1466</v>
      </c>
      <c r="O12" t="n">
        <v>70</v>
      </c>
      <c r="P12" t="n">
        <v>0</v>
      </c>
      <c r="Q12" t="n">
        <v>70</v>
      </c>
      <c r="R12" t="n">
        <v>0</v>
      </c>
      <c r="S12" t="n">
        <v>196</v>
      </c>
      <c r="T12" t="n">
        <v>196</v>
      </c>
      <c r="U12" t="n">
        <v>0</v>
      </c>
      <c r="V12" t="n">
        <v>1592</v>
      </c>
      <c r="W12" t="n">
        <v>159.2</v>
      </c>
      <c r="X12" t="n">
        <v>2</v>
      </c>
      <c r="Y12" t="n">
        <v>28</v>
      </c>
      <c r="Z12" t="n">
        <v>264</v>
      </c>
      <c r="AA12" t="n">
        <v>14</v>
      </c>
      <c r="AB12" t="n">
        <v>132</v>
      </c>
      <c r="AC12" t="n">
        <v>59</v>
      </c>
      <c r="AD12" t="n">
        <v>558</v>
      </c>
      <c r="AE12" t="n">
        <v>264</v>
      </c>
      <c r="AF12" t="n">
        <v>558</v>
      </c>
      <c r="AG12" t="n">
        <v>100</v>
      </c>
      <c r="AH12" t="n">
        <v>185</v>
      </c>
      <c r="AI12" t="n">
        <v>0</v>
      </c>
      <c r="AJ12" t="n">
        <v>1034</v>
      </c>
      <c r="AK12" t="inlineStr">
        <is>
          <t>MDS</t>
        </is>
      </c>
      <c r="AL12" t="inlineStr">
        <is>
          <t>High ESTN</t>
        </is>
      </c>
      <c r="AM12" t="inlineStr">
        <is>
          <t>P1</t>
        </is>
      </c>
      <c r="AN12" t="inlineStr">
        <is>
          <t>Critical Excess</t>
        </is>
      </c>
      <c r="AO12" t="inlineStr">
        <is>
          <t>C</t>
        </is>
      </c>
      <c r="AP12" t="inlineStr"/>
      <c r="AQ12">
        <f>IF(AM12="P1",100,IF(AM12="P2",67,IF(AM12="P3",33,0)))</f>
        <v/>
      </c>
      <c r="AR12">
        <f>MIN(100,INT(IF(AI12&gt;0,AI12/Z12,AJ12/AD12)*100))</f>
        <v/>
      </c>
      <c r="AS12">
        <f>IF(AI12+AJ12=0,0,INT(100/D12))</f>
        <v/>
      </c>
      <c r="AT12">
        <f>IF(AO12="A",100,IF(AO12="B",67,33))</f>
        <v/>
      </c>
      <c r="AU12">
        <f>ROUND(0.40*AQ12+0.30*AR12+0.20*AS12+0.10*AT12,0)</f>
        <v/>
      </c>
      <c r="AV12" t="inlineStr">
        <is>
          <t>Opening inventory of 1466 and supply of 196 exceed the demand of 70, resulting in a projected surplus of 1592. This inventory levels violates the maximum stock threshold of 558 units by 1034 units, increasing holding risk.</t>
        </is>
      </c>
    </row>
    <row r="13">
      <c r="A13" t="inlineStr">
        <is>
          <t>BD-24536581-00009</t>
        </is>
      </c>
      <c r="B13" t="inlineStr">
        <is>
          <t>2026-04-17</t>
        </is>
      </c>
      <c r="C13" t="inlineStr">
        <is>
          <t>2026-04-26</t>
        </is>
      </c>
      <c r="D13" t="n">
        <v>12</v>
      </c>
      <c r="E13" t="inlineStr">
        <is>
          <t>SKU_0001</t>
        </is>
      </c>
      <c r="F13" t="inlineStr">
        <is>
          <t>DC1</t>
        </is>
      </c>
      <c r="G13" t="inlineStr">
        <is>
          <t>F1</t>
        </is>
      </c>
      <c r="H13" t="inlineStr">
        <is>
          <t>New York</t>
        </is>
      </c>
      <c r="I13" t="inlineStr">
        <is>
          <t>Northeast</t>
        </is>
      </c>
      <c r="J13" t="n">
        <v>40.7128</v>
      </c>
      <c r="K13" t="n">
        <v>-74.006</v>
      </c>
      <c r="L13" t="inlineStr">
        <is>
          <t>DC</t>
        </is>
      </c>
      <c r="M13" t="inlineStr">
        <is>
          <t>Medical Devices &amp; Diagnostics</t>
        </is>
      </c>
      <c r="N13" t="n">
        <v>1592</v>
      </c>
      <c r="O13" t="n">
        <v>60</v>
      </c>
      <c r="P13" t="n">
        <v>0</v>
      </c>
      <c r="Q13" t="n">
        <v>60</v>
      </c>
      <c r="R13" t="n">
        <v>66</v>
      </c>
      <c r="S13" t="n">
        <v>0</v>
      </c>
      <c r="T13" t="n">
        <v>66</v>
      </c>
      <c r="U13" t="n">
        <v>0</v>
      </c>
      <c r="V13" t="n">
        <v>1598</v>
      </c>
      <c r="W13" t="n">
        <v>186.4</v>
      </c>
      <c r="X13" t="n">
        <v>2</v>
      </c>
      <c r="Y13" t="n">
        <v>28</v>
      </c>
      <c r="Z13" t="n">
        <v>264</v>
      </c>
      <c r="AA13" t="n">
        <v>14</v>
      </c>
      <c r="AB13" t="n">
        <v>132</v>
      </c>
      <c r="AC13" t="n">
        <v>59</v>
      </c>
      <c r="AD13" t="n">
        <v>558</v>
      </c>
      <c r="AE13" t="n">
        <v>264</v>
      </c>
      <c r="AF13" t="n">
        <v>558</v>
      </c>
      <c r="AG13" t="n">
        <v>100</v>
      </c>
      <c r="AH13" t="n">
        <v>186</v>
      </c>
      <c r="AI13" t="n">
        <v>0</v>
      </c>
      <c r="AJ13" t="n">
        <v>1040</v>
      </c>
      <c r="AK13" t="inlineStr">
        <is>
          <t>MDS</t>
        </is>
      </c>
      <c r="AL13" t="inlineStr">
        <is>
          <t>High ESTN</t>
        </is>
      </c>
      <c r="AM13" t="inlineStr">
        <is>
          <t>P1</t>
        </is>
      </c>
      <c r="AN13" t="inlineStr">
        <is>
          <t>Critical Excess</t>
        </is>
      </c>
      <c r="AO13" t="inlineStr">
        <is>
          <t>C</t>
        </is>
      </c>
      <c r="AP13" t="inlineStr"/>
      <c r="AQ13">
        <f>IF(AM13="P1",100,IF(AM13="P2",67,IF(AM13="P3",33,0)))</f>
        <v/>
      </c>
      <c r="AR13">
        <f>MIN(100,INT(IF(AI13&gt;0,AI13/Z13,AJ13/AD13)*100))</f>
        <v/>
      </c>
      <c r="AS13">
        <f>IF(AI13+AJ13=0,0,INT(100/D13))</f>
        <v/>
      </c>
      <c r="AT13">
        <f>IF(AO13="A",100,IF(AO13="B",67,33))</f>
        <v/>
      </c>
      <c r="AU13">
        <f>ROUND(0.40*AQ13+0.30*AR13+0.20*AS13+0.10*AT13,0)</f>
        <v/>
      </c>
      <c r="AV13" t="inlineStr">
        <is>
          <t>Opening inventory of 1592 and supply of 0 exceed the demand of 60, resulting in a projected surplus of 1598. This inventory levels violates the maximum stock threshold of 558 units by 1040 units, increasing holding risk.</t>
        </is>
      </c>
    </row>
    <row r="14">
      <c r="A14" t="inlineStr"/>
      <c r="B14" t="inlineStr">
        <is>
          <t>2026-04-17</t>
        </is>
      </c>
      <c r="C14" t="inlineStr">
        <is>
          <t>2026-02-08</t>
        </is>
      </c>
      <c r="D14" t="n">
        <v>1</v>
      </c>
      <c r="E14" t="inlineStr">
        <is>
          <t>SKU_0001</t>
        </is>
      </c>
      <c r="F14" t="inlineStr">
        <is>
          <t>DC2</t>
        </is>
      </c>
      <c r="G14" t="inlineStr">
        <is>
          <t>F1</t>
        </is>
      </c>
      <c r="H14" t="inlineStr">
        <is>
          <t>Los Angeles</t>
        </is>
      </c>
      <c r="I14" t="inlineStr">
        <is>
          <t>West</t>
        </is>
      </c>
      <c r="J14" t="n">
        <v>34.0522</v>
      </c>
      <c r="K14" t="n">
        <v>-118.2437</v>
      </c>
      <c r="L14" t="inlineStr">
        <is>
          <t>DC</t>
        </is>
      </c>
      <c r="M14" t="inlineStr">
        <is>
          <t>Medical Devices &amp; Diagnostics</t>
        </is>
      </c>
      <c r="N14" t="n">
        <v>275</v>
      </c>
      <c r="O14" t="n">
        <v>50</v>
      </c>
      <c r="P14" t="n">
        <v>0</v>
      </c>
      <c r="Q14" t="n">
        <v>50</v>
      </c>
      <c r="R14" t="n">
        <v>0</v>
      </c>
      <c r="S14" t="n">
        <v>0</v>
      </c>
      <c r="T14" t="n">
        <v>0</v>
      </c>
      <c r="U14" t="n">
        <v>0</v>
      </c>
      <c r="V14" t="n">
        <v>225</v>
      </c>
      <c r="W14" t="n">
        <v>31.5</v>
      </c>
      <c r="X14" t="n">
        <v>3</v>
      </c>
      <c r="Y14" t="n">
        <v>28</v>
      </c>
      <c r="Z14" t="n">
        <v>180</v>
      </c>
      <c r="AA14" t="n">
        <v>21</v>
      </c>
      <c r="AB14" t="n">
        <v>135</v>
      </c>
      <c r="AC14" t="n">
        <v>57</v>
      </c>
      <c r="AD14" t="n">
        <v>367</v>
      </c>
      <c r="AE14" t="n">
        <v>180</v>
      </c>
      <c r="AF14" t="n">
        <v>367</v>
      </c>
      <c r="AG14" t="n">
        <v>100</v>
      </c>
      <c r="AH14" t="n">
        <v>0</v>
      </c>
      <c r="AI14" t="n">
        <v>0</v>
      </c>
      <c r="AJ14" t="n">
        <v>0</v>
      </c>
      <c r="AK14" t="inlineStr">
        <is>
          <t>MDS</t>
        </is>
      </c>
      <c r="AL14" t="inlineStr">
        <is>
          <t>None</t>
        </is>
      </c>
      <c r="AM14" t="inlineStr">
        <is>
          <t>None</t>
        </is>
      </c>
      <c r="AN14" t="inlineStr">
        <is>
          <t>Healthy</t>
        </is>
      </c>
      <c r="AO14" t="inlineStr">
        <is>
          <t>C</t>
        </is>
      </c>
      <c r="AP14" t="inlineStr"/>
      <c r="AQ14">
        <f>IF(AM14="P1",100,IF(AM14="P2",67,IF(AM14="P3",33,0)))</f>
        <v/>
      </c>
      <c r="AR14">
        <f>MIN(100,INT(IF(AI14&gt;0,AI14/Z14,AJ14/AD14)*100))</f>
        <v/>
      </c>
      <c r="AS14">
        <f>IF(AI14+AJ14=0,0,INT(100/D14))</f>
        <v/>
      </c>
      <c r="AT14">
        <f>IF(AO14="A",100,IF(AO14="B",67,33))</f>
        <v/>
      </c>
      <c r="AU14">
        <f>ROUND(0.40*AQ14+0.30*AR14+0.20*AS14+0.10*AT14,0)</f>
        <v/>
      </c>
      <c r="AV14" t="inlineStr"/>
    </row>
    <row r="15">
      <c r="A15" t="inlineStr"/>
      <c r="B15" t="inlineStr">
        <is>
          <t>2026-04-17</t>
        </is>
      </c>
      <c r="C15" t="inlineStr">
        <is>
          <t>2026-02-15</t>
        </is>
      </c>
      <c r="D15" t="n">
        <v>2</v>
      </c>
      <c r="E15" t="inlineStr">
        <is>
          <t>SKU_0001</t>
        </is>
      </c>
      <c r="F15" t="inlineStr">
        <is>
          <t>DC2</t>
        </is>
      </c>
      <c r="G15" t="inlineStr">
        <is>
          <t>F1</t>
        </is>
      </c>
      <c r="H15" t="inlineStr">
        <is>
          <t>Los Angeles</t>
        </is>
      </c>
      <c r="I15" t="inlineStr">
        <is>
          <t>West</t>
        </is>
      </c>
      <c r="J15" t="n">
        <v>34.0522</v>
      </c>
      <c r="K15" t="n">
        <v>-118.2437</v>
      </c>
      <c r="L15" t="inlineStr">
        <is>
          <t>DC</t>
        </is>
      </c>
      <c r="M15" t="inlineStr">
        <is>
          <t>Medical Devices &amp; Diagnostics</t>
        </is>
      </c>
      <c r="N15" t="n">
        <v>225</v>
      </c>
      <c r="O15" t="n">
        <v>52</v>
      </c>
      <c r="P15" t="n">
        <v>0</v>
      </c>
      <c r="Q15" t="n">
        <v>52</v>
      </c>
      <c r="R15" t="n">
        <v>0</v>
      </c>
      <c r="S15" t="n">
        <v>91</v>
      </c>
      <c r="T15" t="n">
        <v>91</v>
      </c>
      <c r="U15" t="n">
        <v>0</v>
      </c>
      <c r="V15" t="n">
        <v>264</v>
      </c>
      <c r="W15" t="n">
        <v>35.5</v>
      </c>
      <c r="X15" t="n">
        <v>3</v>
      </c>
      <c r="Y15" t="n">
        <v>28</v>
      </c>
      <c r="Z15" t="n">
        <v>180</v>
      </c>
      <c r="AA15" t="n">
        <v>21</v>
      </c>
      <c r="AB15" t="n">
        <v>135</v>
      </c>
      <c r="AC15" t="n">
        <v>57</v>
      </c>
      <c r="AD15" t="n">
        <v>367</v>
      </c>
      <c r="AE15" t="n">
        <v>180</v>
      </c>
      <c r="AF15" t="n">
        <v>367</v>
      </c>
      <c r="AG15" t="n">
        <v>100</v>
      </c>
      <c r="AH15" t="n">
        <v>0</v>
      </c>
      <c r="AI15" t="n">
        <v>0</v>
      </c>
      <c r="AJ15" t="n">
        <v>0</v>
      </c>
      <c r="AK15" t="inlineStr">
        <is>
          <t>MDS</t>
        </is>
      </c>
      <c r="AL15" t="inlineStr">
        <is>
          <t>None</t>
        </is>
      </c>
      <c r="AM15" t="inlineStr">
        <is>
          <t>None</t>
        </is>
      </c>
      <c r="AN15" t="inlineStr">
        <is>
          <t>Healthy</t>
        </is>
      </c>
      <c r="AO15" t="inlineStr">
        <is>
          <t>C</t>
        </is>
      </c>
      <c r="AP15" t="inlineStr"/>
      <c r="AQ15">
        <f>IF(AM15="P1",100,IF(AM15="P2",67,IF(AM15="P3",33,0)))</f>
        <v/>
      </c>
      <c r="AR15">
        <f>MIN(100,INT(IF(AI15&gt;0,AI15/Z15,AJ15/AD15)*100))</f>
        <v/>
      </c>
      <c r="AS15">
        <f>IF(AI15+AJ15=0,0,INT(100/D15))</f>
        <v/>
      </c>
      <c r="AT15">
        <f>IF(AO15="A",100,IF(AO15="B",67,33))</f>
        <v/>
      </c>
      <c r="AU15">
        <f>ROUND(0.40*AQ15+0.30*AR15+0.20*AS15+0.10*AT15,0)</f>
        <v/>
      </c>
      <c r="AV15" t="inlineStr"/>
    </row>
    <row r="16">
      <c r="A16" t="inlineStr"/>
      <c r="B16" t="inlineStr">
        <is>
          <t>2026-04-17</t>
        </is>
      </c>
      <c r="C16" t="inlineStr">
        <is>
          <t>2026-02-22</t>
        </is>
      </c>
      <c r="D16" t="n">
        <v>3</v>
      </c>
      <c r="E16" t="inlineStr">
        <is>
          <t>SKU_0001</t>
        </is>
      </c>
      <c r="F16" t="inlineStr">
        <is>
          <t>DC2</t>
        </is>
      </c>
      <c r="G16" t="inlineStr">
        <is>
          <t>F1</t>
        </is>
      </c>
      <c r="H16" t="inlineStr">
        <is>
          <t>Los Angeles</t>
        </is>
      </c>
      <c r="I16" t="inlineStr">
        <is>
          <t>West</t>
        </is>
      </c>
      <c r="J16" t="n">
        <v>34.0522</v>
      </c>
      <c r="K16" t="n">
        <v>-118.2437</v>
      </c>
      <c r="L16" t="inlineStr">
        <is>
          <t>DC</t>
        </is>
      </c>
      <c r="M16" t="inlineStr">
        <is>
          <t>Medical Devices &amp; Diagnostics</t>
        </is>
      </c>
      <c r="N16" t="n">
        <v>264</v>
      </c>
      <c r="O16" t="n">
        <v>31</v>
      </c>
      <c r="P16" t="n">
        <v>0</v>
      </c>
      <c r="Q16" t="n">
        <v>31</v>
      </c>
      <c r="R16" t="n">
        <v>0</v>
      </c>
      <c r="S16" t="n">
        <v>88</v>
      </c>
      <c r="T16" t="n">
        <v>88</v>
      </c>
      <c r="U16" t="n">
        <v>0</v>
      </c>
      <c r="V16" t="n">
        <v>321</v>
      </c>
      <c r="W16" t="n">
        <v>72.5</v>
      </c>
      <c r="X16" t="n">
        <v>3</v>
      </c>
      <c r="Y16" t="n">
        <v>28</v>
      </c>
      <c r="Z16" t="n">
        <v>180</v>
      </c>
      <c r="AA16" t="n">
        <v>21</v>
      </c>
      <c r="AB16" t="n">
        <v>135</v>
      </c>
      <c r="AC16" t="n">
        <v>57</v>
      </c>
      <c r="AD16" t="n">
        <v>367</v>
      </c>
      <c r="AE16" t="n">
        <v>180</v>
      </c>
      <c r="AF16" t="n">
        <v>367</v>
      </c>
      <c r="AG16" t="n">
        <v>100</v>
      </c>
      <c r="AH16" t="n">
        <v>0</v>
      </c>
      <c r="AI16" t="n">
        <v>0</v>
      </c>
      <c r="AJ16" t="n">
        <v>0</v>
      </c>
      <c r="AK16" t="inlineStr">
        <is>
          <t>MDS</t>
        </is>
      </c>
      <c r="AL16" t="inlineStr">
        <is>
          <t>None</t>
        </is>
      </c>
      <c r="AM16" t="inlineStr">
        <is>
          <t>None</t>
        </is>
      </c>
      <c r="AN16" t="inlineStr">
        <is>
          <t>Healthy</t>
        </is>
      </c>
      <c r="AO16" t="inlineStr">
        <is>
          <t>C</t>
        </is>
      </c>
      <c r="AP16" t="inlineStr"/>
      <c r="AQ16">
        <f>IF(AM16="P1",100,IF(AM16="P2",67,IF(AM16="P3",33,0)))</f>
        <v/>
      </c>
      <c r="AR16">
        <f>MIN(100,INT(IF(AI16&gt;0,AI16/Z16,AJ16/AD16)*100))</f>
        <v/>
      </c>
      <c r="AS16">
        <f>IF(AI16+AJ16=0,0,INT(100/D16))</f>
        <v/>
      </c>
      <c r="AT16">
        <f>IF(AO16="A",100,IF(AO16="B",67,33))</f>
        <v/>
      </c>
      <c r="AU16">
        <f>ROUND(0.40*AQ16+0.30*AR16+0.20*AS16+0.10*AT16,0)</f>
        <v/>
      </c>
      <c r="AV16" t="inlineStr"/>
    </row>
    <row r="17">
      <c r="A17" t="inlineStr">
        <is>
          <t>BD-24536581-00010</t>
        </is>
      </c>
      <c r="B17" t="inlineStr">
        <is>
          <t>2026-04-17</t>
        </is>
      </c>
      <c r="C17" t="inlineStr">
        <is>
          <t>2026-03-01</t>
        </is>
      </c>
      <c r="D17" t="n">
        <v>4</v>
      </c>
      <c r="E17" t="inlineStr">
        <is>
          <t>SKU_0001</t>
        </is>
      </c>
      <c r="F17" t="inlineStr">
        <is>
          <t>DC2</t>
        </is>
      </c>
      <c r="G17" t="inlineStr">
        <is>
          <t>F1</t>
        </is>
      </c>
      <c r="H17" t="inlineStr">
        <is>
          <t>Los Angeles</t>
        </is>
      </c>
      <c r="I17" t="inlineStr">
        <is>
          <t>West</t>
        </is>
      </c>
      <c r="J17" t="n">
        <v>34.0522</v>
      </c>
      <c r="K17" t="n">
        <v>-118.2437</v>
      </c>
      <c r="L17" t="inlineStr">
        <is>
          <t>DC</t>
        </is>
      </c>
      <c r="M17" t="inlineStr">
        <is>
          <t>Medical Devices &amp; Diagnostics</t>
        </is>
      </c>
      <c r="N17" t="n">
        <v>321</v>
      </c>
      <c r="O17" t="n">
        <v>54</v>
      </c>
      <c r="P17" t="n">
        <v>0</v>
      </c>
      <c r="Q17" t="n">
        <v>54</v>
      </c>
      <c r="R17" t="n">
        <v>0</v>
      </c>
      <c r="S17" t="n">
        <v>311</v>
      </c>
      <c r="T17" t="n">
        <v>311</v>
      </c>
      <c r="U17" t="n">
        <v>0</v>
      </c>
      <c r="V17" t="n">
        <v>578</v>
      </c>
      <c r="W17" t="n">
        <v>74.90000000000001</v>
      </c>
      <c r="X17" t="n">
        <v>3</v>
      </c>
      <c r="Y17" t="n">
        <v>28</v>
      </c>
      <c r="Z17" t="n">
        <v>180</v>
      </c>
      <c r="AA17" t="n">
        <v>21</v>
      </c>
      <c r="AB17" t="n">
        <v>135</v>
      </c>
      <c r="AC17" t="n">
        <v>57</v>
      </c>
      <c r="AD17" t="n">
        <v>367</v>
      </c>
      <c r="AE17" t="n">
        <v>180</v>
      </c>
      <c r="AF17" t="n">
        <v>367</v>
      </c>
      <c r="AG17" t="n">
        <v>100</v>
      </c>
      <c r="AH17" t="n">
        <v>57</v>
      </c>
      <c r="AI17" t="n">
        <v>0</v>
      </c>
      <c r="AJ17" t="n">
        <v>211</v>
      </c>
      <c r="AK17" t="inlineStr">
        <is>
          <t>MDS</t>
        </is>
      </c>
      <c r="AL17" t="inlineStr">
        <is>
          <t>High ESTN</t>
        </is>
      </c>
      <c r="AM17" t="inlineStr">
        <is>
          <t>P1</t>
        </is>
      </c>
      <c r="AN17" t="inlineStr">
        <is>
          <t>Critical Excess</t>
        </is>
      </c>
      <c r="AO17" t="inlineStr">
        <is>
          <t>C</t>
        </is>
      </c>
      <c r="AP17" t="inlineStr"/>
      <c r="AQ17">
        <f>IF(AM17="P1",100,IF(AM17="P2",67,IF(AM17="P3",33,0)))</f>
        <v/>
      </c>
      <c r="AR17">
        <f>MIN(100,INT(IF(AI17&gt;0,AI17/Z17,AJ17/AD17)*100))</f>
        <v/>
      </c>
      <c r="AS17">
        <f>IF(AI17+AJ17=0,0,INT(100/D17))</f>
        <v/>
      </c>
      <c r="AT17">
        <f>IF(AO17="A",100,IF(AO17="B",67,33))</f>
        <v/>
      </c>
      <c r="AU17">
        <f>ROUND(0.40*AQ17+0.30*AR17+0.20*AS17+0.10*AT17,0)</f>
        <v/>
      </c>
      <c r="AV17" t="inlineStr">
        <is>
          <t>Opening inventory of 321 and supply of 311 exceed the demand of 54, resulting in a projected surplus of 578. This inventory levels violates the maximum stock threshold of 367 units by 211 units, increasing holding risk.</t>
        </is>
      </c>
    </row>
    <row r="18">
      <c r="A18" t="inlineStr">
        <is>
          <t>BD-24536581-00011</t>
        </is>
      </c>
      <c r="B18" t="inlineStr">
        <is>
          <t>2026-04-17</t>
        </is>
      </c>
      <c r="C18" t="inlineStr">
        <is>
          <t>2026-03-08</t>
        </is>
      </c>
      <c r="D18" t="n">
        <v>5</v>
      </c>
      <c r="E18" t="inlineStr">
        <is>
          <t>SKU_0001</t>
        </is>
      </c>
      <c r="F18" t="inlineStr">
        <is>
          <t>DC2</t>
        </is>
      </c>
      <c r="G18" t="inlineStr">
        <is>
          <t>F1</t>
        </is>
      </c>
      <c r="H18" t="inlineStr">
        <is>
          <t>Los Angeles</t>
        </is>
      </c>
      <c r="I18" t="inlineStr">
        <is>
          <t>West</t>
        </is>
      </c>
      <c r="J18" t="n">
        <v>34.0522</v>
      </c>
      <c r="K18" t="n">
        <v>-118.2437</v>
      </c>
      <c r="L18" t="inlineStr">
        <is>
          <t>DC</t>
        </is>
      </c>
      <c r="M18" t="inlineStr">
        <is>
          <t>Medical Devices &amp; Diagnostics</t>
        </is>
      </c>
      <c r="N18" t="n">
        <v>578</v>
      </c>
      <c r="O18" t="n">
        <v>52</v>
      </c>
      <c r="P18" t="n">
        <v>0</v>
      </c>
      <c r="Q18" t="n">
        <v>52</v>
      </c>
      <c r="R18" t="n">
        <v>109</v>
      </c>
      <c r="S18" t="n">
        <v>0</v>
      </c>
      <c r="T18" t="n">
        <v>109</v>
      </c>
      <c r="U18" t="n">
        <v>0</v>
      </c>
      <c r="V18" t="n">
        <v>635</v>
      </c>
      <c r="W18" t="n">
        <v>85.5</v>
      </c>
      <c r="X18" t="n">
        <v>3</v>
      </c>
      <c r="Y18" t="n">
        <v>28</v>
      </c>
      <c r="Z18" t="n">
        <v>180</v>
      </c>
      <c r="AA18" t="n">
        <v>21</v>
      </c>
      <c r="AB18" t="n">
        <v>135</v>
      </c>
      <c r="AC18" t="n">
        <v>57</v>
      </c>
      <c r="AD18" t="n">
        <v>367</v>
      </c>
      <c r="AE18" t="n">
        <v>180</v>
      </c>
      <c r="AF18" t="n">
        <v>367</v>
      </c>
      <c r="AG18" t="n">
        <v>100</v>
      </c>
      <c r="AH18" t="n">
        <v>73</v>
      </c>
      <c r="AI18" t="n">
        <v>0</v>
      </c>
      <c r="AJ18" t="n">
        <v>268</v>
      </c>
      <c r="AK18" t="inlineStr">
        <is>
          <t>MDS</t>
        </is>
      </c>
      <c r="AL18" t="inlineStr">
        <is>
          <t>High ESTN</t>
        </is>
      </c>
      <c r="AM18" t="inlineStr">
        <is>
          <t>P1</t>
        </is>
      </c>
      <c r="AN18" t="inlineStr">
        <is>
          <t>Critical Excess</t>
        </is>
      </c>
      <c r="AO18" t="inlineStr">
        <is>
          <t>C</t>
        </is>
      </c>
      <c r="AP18" t="inlineStr"/>
      <c r="AQ18">
        <f>IF(AM18="P1",100,IF(AM18="P2",67,IF(AM18="P3",33,0)))</f>
        <v/>
      </c>
      <c r="AR18">
        <f>MIN(100,INT(IF(AI18&gt;0,AI18/Z18,AJ18/AD18)*100))</f>
        <v/>
      </c>
      <c r="AS18">
        <f>IF(AI18+AJ18=0,0,INT(100/D18))</f>
        <v/>
      </c>
      <c r="AT18">
        <f>IF(AO18="A",100,IF(AO18="B",67,33))</f>
        <v/>
      </c>
      <c r="AU18">
        <f>ROUND(0.40*AQ18+0.30*AR18+0.20*AS18+0.10*AT18,0)</f>
        <v/>
      </c>
      <c r="AV18" t="inlineStr">
        <is>
          <t>Opening inventory of 578 and supply of 0 exceed the demand of 52, resulting in a projected surplus of 635. This inventory levels violates the maximum stock threshold of 367 units by 268 units, increasing holding risk.</t>
        </is>
      </c>
    </row>
    <row r="19">
      <c r="A19" t="inlineStr">
        <is>
          <t>BD-24536581-00012</t>
        </is>
      </c>
      <c r="B19" t="inlineStr">
        <is>
          <t>2026-04-17</t>
        </is>
      </c>
      <c r="C19" t="inlineStr">
        <is>
          <t>2026-03-15</t>
        </is>
      </c>
      <c r="D19" t="n">
        <v>6</v>
      </c>
      <c r="E19" t="inlineStr">
        <is>
          <t>SKU_0001</t>
        </is>
      </c>
      <c r="F19" t="inlineStr">
        <is>
          <t>DC2</t>
        </is>
      </c>
      <c r="G19" t="inlineStr">
        <is>
          <t>F1</t>
        </is>
      </c>
      <c r="H19" t="inlineStr">
        <is>
          <t>Los Angeles</t>
        </is>
      </c>
      <c r="I19" t="inlineStr">
        <is>
          <t>West</t>
        </is>
      </c>
      <c r="J19" t="n">
        <v>34.0522</v>
      </c>
      <c r="K19" t="n">
        <v>-118.2437</v>
      </c>
      <c r="L19" t="inlineStr">
        <is>
          <t>DC</t>
        </is>
      </c>
      <c r="M19" t="inlineStr">
        <is>
          <t>Medical Devices &amp; Diagnostics</t>
        </is>
      </c>
      <c r="N19" t="n">
        <v>635</v>
      </c>
      <c r="O19" t="n">
        <v>47</v>
      </c>
      <c r="P19" t="n">
        <v>0</v>
      </c>
      <c r="Q19" t="n">
        <v>47</v>
      </c>
      <c r="R19" t="n">
        <v>0</v>
      </c>
      <c r="S19" t="n">
        <v>0</v>
      </c>
      <c r="T19" t="n">
        <v>0</v>
      </c>
      <c r="U19" t="n">
        <v>0</v>
      </c>
      <c r="V19" t="n">
        <v>588</v>
      </c>
      <c r="W19" t="n">
        <v>87.59999999999999</v>
      </c>
      <c r="X19" t="n">
        <v>3</v>
      </c>
      <c r="Y19" t="n">
        <v>28</v>
      </c>
      <c r="Z19" t="n">
        <v>180</v>
      </c>
      <c r="AA19" t="n">
        <v>21</v>
      </c>
      <c r="AB19" t="n">
        <v>135</v>
      </c>
      <c r="AC19" t="n">
        <v>57</v>
      </c>
      <c r="AD19" t="n">
        <v>367</v>
      </c>
      <c r="AE19" t="n">
        <v>180</v>
      </c>
      <c r="AF19" t="n">
        <v>367</v>
      </c>
      <c r="AG19" t="n">
        <v>100</v>
      </c>
      <c r="AH19" t="n">
        <v>60</v>
      </c>
      <c r="AI19" t="n">
        <v>0</v>
      </c>
      <c r="AJ19" t="n">
        <v>221</v>
      </c>
      <c r="AK19" t="inlineStr">
        <is>
          <t>MDS</t>
        </is>
      </c>
      <c r="AL19" t="inlineStr">
        <is>
          <t>High ESTN</t>
        </is>
      </c>
      <c r="AM19" t="inlineStr">
        <is>
          <t>P1</t>
        </is>
      </c>
      <c r="AN19" t="inlineStr">
        <is>
          <t>Critical Excess</t>
        </is>
      </c>
      <c r="AO19" t="inlineStr">
        <is>
          <t>C</t>
        </is>
      </c>
      <c r="AP19" t="inlineStr"/>
      <c r="AQ19">
        <f>IF(AM19="P1",100,IF(AM19="P2",67,IF(AM19="P3",33,0)))</f>
        <v/>
      </c>
      <c r="AR19">
        <f>MIN(100,INT(IF(AI19&gt;0,AI19/Z19,AJ19/AD19)*100))</f>
        <v/>
      </c>
      <c r="AS19">
        <f>IF(AI19+AJ19=0,0,INT(100/D19))</f>
        <v/>
      </c>
      <c r="AT19">
        <f>IF(AO19="A",100,IF(AO19="B",67,33))</f>
        <v/>
      </c>
      <c r="AU19">
        <f>ROUND(0.40*AQ19+0.30*AR19+0.20*AS19+0.10*AT19,0)</f>
        <v/>
      </c>
      <c r="AV19" t="inlineStr">
        <is>
          <t>Opening inventory of 635 and supply of 0 exceed the demand of 47, resulting in a projected surplus of 588. This inventory levels violates the maximum stock threshold of 367 units by 221 units, increasing holding risk.</t>
        </is>
      </c>
    </row>
    <row r="20">
      <c r="A20" t="inlineStr">
        <is>
          <t>BD-24536581-00013</t>
        </is>
      </c>
      <c r="B20" t="inlineStr">
        <is>
          <t>2026-04-17</t>
        </is>
      </c>
      <c r="C20" t="inlineStr">
        <is>
          <t>2026-03-22</t>
        </is>
      </c>
      <c r="D20" t="n">
        <v>7</v>
      </c>
      <c r="E20" t="inlineStr">
        <is>
          <t>SKU_0001</t>
        </is>
      </c>
      <c r="F20" t="inlineStr">
        <is>
          <t>DC2</t>
        </is>
      </c>
      <c r="G20" t="inlineStr">
        <is>
          <t>F1</t>
        </is>
      </c>
      <c r="H20" t="inlineStr">
        <is>
          <t>Los Angeles</t>
        </is>
      </c>
      <c r="I20" t="inlineStr">
        <is>
          <t>West</t>
        </is>
      </c>
      <c r="J20" t="n">
        <v>34.0522</v>
      </c>
      <c r="K20" t="n">
        <v>-118.2437</v>
      </c>
      <c r="L20" t="inlineStr">
        <is>
          <t>DC</t>
        </is>
      </c>
      <c r="M20" t="inlineStr">
        <is>
          <t>Medical Devices &amp; Diagnostics</t>
        </is>
      </c>
      <c r="N20" t="n">
        <v>588</v>
      </c>
      <c r="O20" t="n">
        <v>44</v>
      </c>
      <c r="P20" t="n">
        <v>0</v>
      </c>
      <c r="Q20" t="n">
        <v>44</v>
      </c>
      <c r="R20" t="n">
        <v>0</v>
      </c>
      <c r="S20" t="n">
        <v>0</v>
      </c>
      <c r="T20" t="n">
        <v>0</v>
      </c>
      <c r="U20" t="n">
        <v>0</v>
      </c>
      <c r="V20" t="n">
        <v>544</v>
      </c>
      <c r="W20" t="n">
        <v>86.5</v>
      </c>
      <c r="X20" t="n">
        <v>3</v>
      </c>
      <c r="Y20" t="n">
        <v>28</v>
      </c>
      <c r="Z20" t="n">
        <v>180</v>
      </c>
      <c r="AA20" t="n">
        <v>21</v>
      </c>
      <c r="AB20" t="n">
        <v>135</v>
      </c>
      <c r="AC20" t="n">
        <v>57</v>
      </c>
      <c r="AD20" t="n">
        <v>367</v>
      </c>
      <c r="AE20" t="n">
        <v>180</v>
      </c>
      <c r="AF20" t="n">
        <v>367</v>
      </c>
      <c r="AG20" t="n">
        <v>100</v>
      </c>
      <c r="AH20" t="n">
        <v>48</v>
      </c>
      <c r="AI20" t="n">
        <v>0</v>
      </c>
      <c r="AJ20" t="n">
        <v>177</v>
      </c>
      <c r="AK20" t="inlineStr">
        <is>
          <t>MDS</t>
        </is>
      </c>
      <c r="AL20" t="inlineStr">
        <is>
          <t>High ESTN</t>
        </is>
      </c>
      <c r="AM20" t="inlineStr">
        <is>
          <t>P1</t>
        </is>
      </c>
      <c r="AN20" t="inlineStr">
        <is>
          <t>Critical Excess</t>
        </is>
      </c>
      <c r="AO20" t="inlineStr">
        <is>
          <t>C</t>
        </is>
      </c>
      <c r="AP20" t="inlineStr"/>
      <c r="AQ20">
        <f>IF(AM20="P1",100,IF(AM20="P2",67,IF(AM20="P3",33,0)))</f>
        <v/>
      </c>
      <c r="AR20">
        <f>MIN(100,INT(IF(AI20&gt;0,AI20/Z20,AJ20/AD20)*100))</f>
        <v/>
      </c>
      <c r="AS20">
        <f>IF(AI20+AJ20=0,0,INT(100/D20))</f>
        <v/>
      </c>
      <c r="AT20">
        <f>IF(AO20="A",100,IF(AO20="B",67,33))</f>
        <v/>
      </c>
      <c r="AU20">
        <f>ROUND(0.40*AQ20+0.30*AR20+0.20*AS20+0.10*AT20,0)</f>
        <v/>
      </c>
      <c r="AV20" t="inlineStr">
        <is>
          <t>Opening inventory of 588 and supply of 0 exceed the demand of 44, resulting in a projected surplus of 544. This inventory levels violates the maximum stock threshold of 367 units by 177 units, increasing holding risk.</t>
        </is>
      </c>
    </row>
    <row r="21">
      <c r="A21" t="inlineStr">
        <is>
          <t>BD-24536581-00014</t>
        </is>
      </c>
      <c r="B21" t="inlineStr">
        <is>
          <t>2026-04-17</t>
        </is>
      </c>
      <c r="C21" t="inlineStr">
        <is>
          <t>2026-03-29</t>
        </is>
      </c>
      <c r="D21" t="n">
        <v>8</v>
      </c>
      <c r="E21" t="inlineStr">
        <is>
          <t>SKU_0001</t>
        </is>
      </c>
      <c r="F21" t="inlineStr">
        <is>
          <t>DC2</t>
        </is>
      </c>
      <c r="G21" t="inlineStr">
        <is>
          <t>F1</t>
        </is>
      </c>
      <c r="H21" t="inlineStr">
        <is>
          <t>Los Angeles</t>
        </is>
      </c>
      <c r="I21" t="inlineStr">
        <is>
          <t>West</t>
        </is>
      </c>
      <c r="J21" t="n">
        <v>34.0522</v>
      </c>
      <c r="K21" t="n">
        <v>-118.2437</v>
      </c>
      <c r="L21" t="inlineStr">
        <is>
          <t>DC</t>
        </is>
      </c>
      <c r="M21" t="inlineStr">
        <is>
          <t>Medical Devices &amp; Diagnostics</t>
        </is>
      </c>
      <c r="N21" t="n">
        <v>544</v>
      </c>
      <c r="O21" t="n">
        <v>59</v>
      </c>
      <c r="P21" t="n">
        <v>0</v>
      </c>
      <c r="Q21" t="n">
        <v>59</v>
      </c>
      <c r="R21" t="n">
        <v>0</v>
      </c>
      <c r="S21" t="n">
        <v>74</v>
      </c>
      <c r="T21" t="n">
        <v>74</v>
      </c>
      <c r="U21" t="n">
        <v>0</v>
      </c>
      <c r="V21" t="n">
        <v>559</v>
      </c>
      <c r="W21" t="n">
        <v>66.3</v>
      </c>
      <c r="X21" t="n">
        <v>3</v>
      </c>
      <c r="Y21" t="n">
        <v>28</v>
      </c>
      <c r="Z21" t="n">
        <v>180</v>
      </c>
      <c r="AA21" t="n">
        <v>21</v>
      </c>
      <c r="AB21" t="n">
        <v>135</v>
      </c>
      <c r="AC21" t="n">
        <v>57</v>
      </c>
      <c r="AD21" t="n">
        <v>367</v>
      </c>
      <c r="AE21" t="n">
        <v>180</v>
      </c>
      <c r="AF21" t="n">
        <v>367</v>
      </c>
      <c r="AG21" t="n">
        <v>100</v>
      </c>
      <c r="AH21" t="n">
        <v>52</v>
      </c>
      <c r="AI21" t="n">
        <v>0</v>
      </c>
      <c r="AJ21" t="n">
        <v>192</v>
      </c>
      <c r="AK21" t="inlineStr">
        <is>
          <t>MDS</t>
        </is>
      </c>
      <c r="AL21" t="inlineStr">
        <is>
          <t>High ESTN</t>
        </is>
      </c>
      <c r="AM21" t="inlineStr">
        <is>
          <t>P1</t>
        </is>
      </c>
      <c r="AN21" t="inlineStr">
        <is>
          <t>Critical Excess</t>
        </is>
      </c>
      <c r="AO21" t="inlineStr">
        <is>
          <t>C</t>
        </is>
      </c>
      <c r="AP21" t="inlineStr"/>
      <c r="AQ21">
        <f>IF(AM21="P1",100,IF(AM21="P2",67,IF(AM21="P3",33,0)))</f>
        <v/>
      </c>
      <c r="AR21">
        <f>MIN(100,INT(IF(AI21&gt;0,AI21/Z21,AJ21/AD21)*100))</f>
        <v/>
      </c>
      <c r="AS21">
        <f>IF(AI21+AJ21=0,0,INT(100/D21))</f>
        <v/>
      </c>
      <c r="AT21">
        <f>IF(AO21="A",100,IF(AO21="B",67,33))</f>
        <v/>
      </c>
      <c r="AU21">
        <f>ROUND(0.40*AQ21+0.30*AR21+0.20*AS21+0.10*AT21,0)</f>
        <v/>
      </c>
      <c r="AV21" t="inlineStr">
        <is>
          <t>Opening inventory of 544 and supply of 74 exceed the demand of 59, resulting in a projected surplus of 559. This inventory levels violates the maximum stock threshold of 367 units by 192 units, increasing holding risk.</t>
        </is>
      </c>
    </row>
    <row r="22">
      <c r="A22" t="inlineStr">
        <is>
          <t>BD-24536581-00015</t>
        </is>
      </c>
      <c r="B22" t="inlineStr">
        <is>
          <t>2026-04-17</t>
        </is>
      </c>
      <c r="C22" t="inlineStr">
        <is>
          <t>2026-04-05</t>
        </is>
      </c>
      <c r="D22" t="n">
        <v>9</v>
      </c>
      <c r="E22" t="inlineStr">
        <is>
          <t>SKU_0001</t>
        </is>
      </c>
      <c r="F22" t="inlineStr">
        <is>
          <t>DC2</t>
        </is>
      </c>
      <c r="G22" t="inlineStr">
        <is>
          <t>F1</t>
        </is>
      </c>
      <c r="H22" t="inlineStr">
        <is>
          <t>Los Angeles</t>
        </is>
      </c>
      <c r="I22" t="inlineStr">
        <is>
          <t>West</t>
        </is>
      </c>
      <c r="J22" t="n">
        <v>34.0522</v>
      </c>
      <c r="K22" t="n">
        <v>-118.2437</v>
      </c>
      <c r="L22" t="inlineStr">
        <is>
          <t>DC</t>
        </is>
      </c>
      <c r="M22" t="inlineStr">
        <is>
          <t>Medical Devices &amp; Diagnostics</t>
        </is>
      </c>
      <c r="N22" t="n">
        <v>559</v>
      </c>
      <c r="O22" t="n">
        <v>45</v>
      </c>
      <c r="P22" t="n">
        <v>0</v>
      </c>
      <c r="Q22" t="n">
        <v>45</v>
      </c>
      <c r="R22" t="n">
        <v>0</v>
      </c>
      <c r="S22" t="n">
        <v>271</v>
      </c>
      <c r="T22" t="n">
        <v>271</v>
      </c>
      <c r="U22" t="n">
        <v>0</v>
      </c>
      <c r="V22" t="n">
        <v>785</v>
      </c>
      <c r="W22" t="n">
        <v>122.1</v>
      </c>
      <c r="X22" t="n">
        <v>3</v>
      </c>
      <c r="Y22" t="n">
        <v>28</v>
      </c>
      <c r="Z22" t="n">
        <v>180</v>
      </c>
      <c r="AA22" t="n">
        <v>21</v>
      </c>
      <c r="AB22" t="n">
        <v>135</v>
      </c>
      <c r="AC22" t="n">
        <v>57</v>
      </c>
      <c r="AD22" t="n">
        <v>367</v>
      </c>
      <c r="AE22" t="n">
        <v>180</v>
      </c>
      <c r="AF22" t="n">
        <v>367</v>
      </c>
      <c r="AG22" t="n">
        <v>100</v>
      </c>
      <c r="AH22" t="n">
        <v>113</v>
      </c>
      <c r="AI22" t="n">
        <v>0</v>
      </c>
      <c r="AJ22" t="n">
        <v>418</v>
      </c>
      <c r="AK22" t="inlineStr">
        <is>
          <t>MDS</t>
        </is>
      </c>
      <c r="AL22" t="inlineStr">
        <is>
          <t>High ESTN</t>
        </is>
      </c>
      <c r="AM22" t="inlineStr">
        <is>
          <t>P1</t>
        </is>
      </c>
      <c r="AN22" t="inlineStr">
        <is>
          <t>Critical Excess</t>
        </is>
      </c>
      <c r="AO22" t="inlineStr">
        <is>
          <t>C</t>
        </is>
      </c>
      <c r="AP22" t="inlineStr"/>
      <c r="AQ22">
        <f>IF(AM22="P1",100,IF(AM22="P2",67,IF(AM22="P3",33,0)))</f>
        <v/>
      </c>
      <c r="AR22">
        <f>MIN(100,INT(IF(AI22&gt;0,AI22/Z22,AJ22/AD22)*100))</f>
        <v/>
      </c>
      <c r="AS22">
        <f>IF(AI22+AJ22=0,0,INT(100/D22))</f>
        <v/>
      </c>
      <c r="AT22">
        <f>IF(AO22="A",100,IF(AO22="B",67,33))</f>
        <v/>
      </c>
      <c r="AU22">
        <f>ROUND(0.40*AQ22+0.30*AR22+0.20*AS22+0.10*AT22,0)</f>
        <v/>
      </c>
      <c r="AV22" t="inlineStr">
        <is>
          <t>Opening inventory of 559 and supply of 271 exceed the demand of 45, resulting in a projected surplus of 785. This inventory levels violates the maximum stock threshold of 367 units by 418 units, increasing holding risk.</t>
        </is>
      </c>
    </row>
    <row r="23">
      <c r="A23" t="inlineStr">
        <is>
          <t>BD-24536581-00016</t>
        </is>
      </c>
      <c r="B23" t="inlineStr">
        <is>
          <t>2026-04-17</t>
        </is>
      </c>
      <c r="C23" t="inlineStr">
        <is>
          <t>2026-04-12</t>
        </is>
      </c>
      <c r="D23" t="n">
        <v>10</v>
      </c>
      <c r="E23" t="inlineStr">
        <is>
          <t>SKU_0001</t>
        </is>
      </c>
      <c r="F23" t="inlineStr">
        <is>
          <t>DC2</t>
        </is>
      </c>
      <c r="G23" t="inlineStr">
        <is>
          <t>F1</t>
        </is>
      </c>
      <c r="H23" t="inlineStr">
        <is>
          <t>Los Angeles</t>
        </is>
      </c>
      <c r="I23" t="inlineStr">
        <is>
          <t>West</t>
        </is>
      </c>
      <c r="J23" t="n">
        <v>34.0522</v>
      </c>
      <c r="K23" t="n">
        <v>-118.2437</v>
      </c>
      <c r="L23" t="inlineStr">
        <is>
          <t>DC</t>
        </is>
      </c>
      <c r="M23" t="inlineStr">
        <is>
          <t>Medical Devices &amp; Diagnostics</t>
        </is>
      </c>
      <c r="N23" t="n">
        <v>785</v>
      </c>
      <c r="O23" t="n">
        <v>42</v>
      </c>
      <c r="P23" t="n">
        <v>0</v>
      </c>
      <c r="Q23" t="n">
        <v>42</v>
      </c>
      <c r="R23" t="n">
        <v>81</v>
      </c>
      <c r="S23" t="n">
        <v>0</v>
      </c>
      <c r="T23" t="n">
        <v>81</v>
      </c>
      <c r="U23" t="n">
        <v>0</v>
      </c>
      <c r="V23" t="n">
        <v>824</v>
      </c>
      <c r="W23" t="n">
        <v>137.3</v>
      </c>
      <c r="X23" t="n">
        <v>3</v>
      </c>
      <c r="Y23" t="n">
        <v>28</v>
      </c>
      <c r="Z23" t="n">
        <v>180</v>
      </c>
      <c r="AA23" t="n">
        <v>21</v>
      </c>
      <c r="AB23" t="n">
        <v>135</v>
      </c>
      <c r="AC23" t="n">
        <v>57</v>
      </c>
      <c r="AD23" t="n">
        <v>367</v>
      </c>
      <c r="AE23" t="n">
        <v>180</v>
      </c>
      <c r="AF23" t="n">
        <v>367</v>
      </c>
      <c r="AG23" t="n">
        <v>100</v>
      </c>
      <c r="AH23" t="n">
        <v>124</v>
      </c>
      <c r="AI23" t="n">
        <v>0</v>
      </c>
      <c r="AJ23" t="n">
        <v>457</v>
      </c>
      <c r="AK23" t="inlineStr">
        <is>
          <t>MDS</t>
        </is>
      </c>
      <c r="AL23" t="inlineStr">
        <is>
          <t>High ESTN</t>
        </is>
      </c>
      <c r="AM23" t="inlineStr">
        <is>
          <t>P1</t>
        </is>
      </c>
      <c r="AN23" t="inlineStr">
        <is>
          <t>Critical Excess</t>
        </is>
      </c>
      <c r="AO23" t="inlineStr">
        <is>
          <t>C</t>
        </is>
      </c>
      <c r="AP23" t="inlineStr"/>
      <c r="AQ23">
        <f>IF(AM23="P1",100,IF(AM23="P2",67,IF(AM23="P3",33,0)))</f>
        <v/>
      </c>
      <c r="AR23">
        <f>MIN(100,INT(IF(AI23&gt;0,AI23/Z23,AJ23/AD23)*100))</f>
        <v/>
      </c>
      <c r="AS23">
        <f>IF(AI23+AJ23=0,0,INT(100/D23))</f>
        <v/>
      </c>
      <c r="AT23">
        <f>IF(AO23="A",100,IF(AO23="B",67,33))</f>
        <v/>
      </c>
      <c r="AU23">
        <f>ROUND(0.40*AQ23+0.30*AR23+0.20*AS23+0.10*AT23,0)</f>
        <v/>
      </c>
      <c r="AV23" t="inlineStr">
        <is>
          <t>Opening inventory of 785 and supply of 0 exceed the demand of 42, resulting in a projected surplus of 824. This inventory levels violates the maximum stock threshold of 367 units by 457 units, increasing holding risk.</t>
        </is>
      </c>
    </row>
    <row r="24">
      <c r="A24" t="inlineStr">
        <is>
          <t>BD-24536581-00017</t>
        </is>
      </c>
      <c r="B24" t="inlineStr">
        <is>
          <t>2026-04-17</t>
        </is>
      </c>
      <c r="C24" t="inlineStr">
        <is>
          <t>2026-04-19</t>
        </is>
      </c>
      <c r="D24" t="n">
        <v>11</v>
      </c>
      <c r="E24" t="inlineStr">
        <is>
          <t>SKU_0001</t>
        </is>
      </c>
      <c r="F24" t="inlineStr">
        <is>
          <t>DC2</t>
        </is>
      </c>
      <c r="G24" t="inlineStr">
        <is>
          <t>F1</t>
        </is>
      </c>
      <c r="H24" t="inlineStr">
        <is>
          <t>Los Angeles</t>
        </is>
      </c>
      <c r="I24" t="inlineStr">
        <is>
          <t>West</t>
        </is>
      </c>
      <c r="J24" t="n">
        <v>34.0522</v>
      </c>
      <c r="K24" t="n">
        <v>-118.2437</v>
      </c>
      <c r="L24" t="inlineStr">
        <is>
          <t>DC</t>
        </is>
      </c>
      <c r="M24" t="inlineStr">
        <is>
          <t>Medical Devices &amp; Diagnostics</t>
        </is>
      </c>
      <c r="N24" t="n">
        <v>824</v>
      </c>
      <c r="O24" t="n">
        <v>37</v>
      </c>
      <c r="P24" t="n">
        <v>0</v>
      </c>
      <c r="Q24" t="n">
        <v>37</v>
      </c>
      <c r="R24" t="n">
        <v>0</v>
      </c>
      <c r="S24" t="n">
        <v>87</v>
      </c>
      <c r="T24" t="n">
        <v>87</v>
      </c>
      <c r="U24" t="n">
        <v>0</v>
      </c>
      <c r="V24" t="n">
        <v>874</v>
      </c>
      <c r="W24" t="n">
        <v>165.4</v>
      </c>
      <c r="X24" t="n">
        <v>3</v>
      </c>
      <c r="Y24" t="n">
        <v>28</v>
      </c>
      <c r="Z24" t="n">
        <v>180</v>
      </c>
      <c r="AA24" t="n">
        <v>21</v>
      </c>
      <c r="AB24" t="n">
        <v>135</v>
      </c>
      <c r="AC24" t="n">
        <v>57</v>
      </c>
      <c r="AD24" t="n">
        <v>367</v>
      </c>
      <c r="AE24" t="n">
        <v>180</v>
      </c>
      <c r="AF24" t="n">
        <v>367</v>
      </c>
      <c r="AG24" t="n">
        <v>100</v>
      </c>
      <c r="AH24" t="n">
        <v>138</v>
      </c>
      <c r="AI24" t="n">
        <v>0</v>
      </c>
      <c r="AJ24" t="n">
        <v>507</v>
      </c>
      <c r="AK24" t="inlineStr">
        <is>
          <t>MDS</t>
        </is>
      </c>
      <c r="AL24" t="inlineStr">
        <is>
          <t>High ESTN</t>
        </is>
      </c>
      <c r="AM24" t="inlineStr">
        <is>
          <t>P1</t>
        </is>
      </c>
      <c r="AN24" t="inlineStr">
        <is>
          <t>Critical Excess</t>
        </is>
      </c>
      <c r="AO24" t="inlineStr">
        <is>
          <t>C</t>
        </is>
      </c>
      <c r="AP24" t="inlineStr"/>
      <c r="AQ24">
        <f>IF(AM24="P1",100,IF(AM24="P2",67,IF(AM24="P3",33,0)))</f>
        <v/>
      </c>
      <c r="AR24">
        <f>MIN(100,INT(IF(AI24&gt;0,AI24/Z24,AJ24/AD24)*100))</f>
        <v/>
      </c>
      <c r="AS24">
        <f>IF(AI24+AJ24=0,0,INT(100/D24))</f>
        <v/>
      </c>
      <c r="AT24">
        <f>IF(AO24="A",100,IF(AO24="B",67,33))</f>
        <v/>
      </c>
      <c r="AU24">
        <f>ROUND(0.40*AQ24+0.30*AR24+0.20*AS24+0.10*AT24,0)</f>
        <v/>
      </c>
      <c r="AV24" t="inlineStr">
        <is>
          <t>Opening inventory of 824 and supply of 87 exceed the demand of 37, resulting in a projected surplus of 874. This inventory levels violates the maximum stock threshold of 367 units by 507 units, increasing holding risk.</t>
        </is>
      </c>
    </row>
    <row r="25">
      <c r="A25" t="inlineStr">
        <is>
          <t>BD-24536581-00018</t>
        </is>
      </c>
      <c r="B25" t="inlineStr">
        <is>
          <t>2026-04-17</t>
        </is>
      </c>
      <c r="C25" t="inlineStr">
        <is>
          <t>2026-04-26</t>
        </is>
      </c>
      <c r="D25" t="n">
        <v>12</v>
      </c>
      <c r="E25" t="inlineStr">
        <is>
          <t>SKU_0001</t>
        </is>
      </c>
      <c r="F25" t="inlineStr">
        <is>
          <t>DC2</t>
        </is>
      </c>
      <c r="G25" t="inlineStr">
        <is>
          <t>F1</t>
        </is>
      </c>
      <c r="H25" t="inlineStr">
        <is>
          <t>Los Angeles</t>
        </is>
      </c>
      <c r="I25" t="inlineStr">
        <is>
          <t>West</t>
        </is>
      </c>
      <c r="J25" t="n">
        <v>34.0522</v>
      </c>
      <c r="K25" t="n">
        <v>-118.2437</v>
      </c>
      <c r="L25" t="inlineStr">
        <is>
          <t>DC</t>
        </is>
      </c>
      <c r="M25" t="inlineStr">
        <is>
          <t>Medical Devices &amp; Diagnostics</t>
        </is>
      </c>
      <c r="N25" t="n">
        <v>874</v>
      </c>
      <c r="O25" t="n">
        <v>51</v>
      </c>
      <c r="P25" t="n">
        <v>0</v>
      </c>
      <c r="Q25" t="n">
        <v>51</v>
      </c>
      <c r="R25" t="n">
        <v>0</v>
      </c>
      <c r="S25" t="n">
        <v>130</v>
      </c>
      <c r="T25" t="n">
        <v>130</v>
      </c>
      <c r="U25" t="n">
        <v>0</v>
      </c>
      <c r="V25" t="n">
        <v>953</v>
      </c>
      <c r="W25" t="n">
        <v>130.8</v>
      </c>
      <c r="X25" t="n">
        <v>3</v>
      </c>
      <c r="Y25" t="n">
        <v>28</v>
      </c>
      <c r="Z25" t="n">
        <v>180</v>
      </c>
      <c r="AA25" t="n">
        <v>21</v>
      </c>
      <c r="AB25" t="n">
        <v>135</v>
      </c>
      <c r="AC25" t="n">
        <v>57</v>
      </c>
      <c r="AD25" t="n">
        <v>367</v>
      </c>
      <c r="AE25" t="n">
        <v>180</v>
      </c>
      <c r="AF25" t="n">
        <v>367</v>
      </c>
      <c r="AG25" t="n">
        <v>100</v>
      </c>
      <c r="AH25" t="n">
        <v>159</v>
      </c>
      <c r="AI25" t="n">
        <v>0</v>
      </c>
      <c r="AJ25" t="n">
        <v>586</v>
      </c>
      <c r="AK25" t="inlineStr">
        <is>
          <t>MDS</t>
        </is>
      </c>
      <c r="AL25" t="inlineStr">
        <is>
          <t>High ESTN</t>
        </is>
      </c>
      <c r="AM25" t="inlineStr">
        <is>
          <t>P1</t>
        </is>
      </c>
      <c r="AN25" t="inlineStr">
        <is>
          <t>Critical Excess</t>
        </is>
      </c>
      <c r="AO25" t="inlineStr">
        <is>
          <t>C</t>
        </is>
      </c>
      <c r="AP25" t="inlineStr"/>
      <c r="AQ25">
        <f>IF(AM25="P1",100,IF(AM25="P2",67,IF(AM25="P3",33,0)))</f>
        <v/>
      </c>
      <c r="AR25">
        <f>MIN(100,INT(IF(AI25&gt;0,AI25/Z25,AJ25/AD25)*100))</f>
        <v/>
      </c>
      <c r="AS25">
        <f>IF(AI25+AJ25=0,0,INT(100/D25))</f>
        <v/>
      </c>
      <c r="AT25">
        <f>IF(AO25="A",100,IF(AO25="B",67,33))</f>
        <v/>
      </c>
      <c r="AU25">
        <f>ROUND(0.40*AQ25+0.30*AR25+0.20*AS25+0.10*AT25,0)</f>
        <v/>
      </c>
      <c r="AV25" t="inlineStr">
        <is>
          <t>Opening inventory of 874 and supply of 130 exceed the demand of 51, resulting in a projected surplus of 953. This inventory levels violates the maximum stock threshold of 367 units by 586 units, increasing holding risk.</t>
        </is>
      </c>
    </row>
    <row r="26">
      <c r="A26" t="inlineStr">
        <is>
          <t>BD-24536581-00019</t>
        </is>
      </c>
      <c r="B26" t="inlineStr">
        <is>
          <t>2026-04-17</t>
        </is>
      </c>
      <c r="C26" t="inlineStr">
        <is>
          <t>2026-02-08</t>
        </is>
      </c>
      <c r="D26" t="n">
        <v>1</v>
      </c>
      <c r="E26" t="inlineStr">
        <is>
          <t>SKU_0001</t>
        </is>
      </c>
      <c r="F26" t="inlineStr">
        <is>
          <t>DC4</t>
        </is>
      </c>
      <c r="G26" t="inlineStr">
        <is>
          <t>F1</t>
        </is>
      </c>
      <c r="H26" t="inlineStr">
        <is>
          <t>Seattle</t>
        </is>
      </c>
      <c r="I26" t="inlineStr">
        <is>
          <t>Northwest</t>
        </is>
      </c>
      <c r="J26" t="n">
        <v>47.6062</v>
      </c>
      <c r="K26" t="n">
        <v>-122.3321</v>
      </c>
      <c r="L26" t="inlineStr">
        <is>
          <t>DC</t>
        </is>
      </c>
      <c r="M26" t="inlineStr">
        <is>
          <t>Medical Devices &amp; Diagnostics</t>
        </is>
      </c>
      <c r="N26" t="n">
        <v>169</v>
      </c>
      <c r="O26" t="n">
        <v>18</v>
      </c>
      <c r="P26" t="n">
        <v>0</v>
      </c>
      <c r="Q26" t="n">
        <v>18</v>
      </c>
      <c r="R26" t="n">
        <v>0</v>
      </c>
      <c r="S26" t="n">
        <v>44</v>
      </c>
      <c r="T26" t="n">
        <v>44</v>
      </c>
      <c r="U26" t="n">
        <v>0</v>
      </c>
      <c r="V26" t="n">
        <v>195</v>
      </c>
      <c r="W26" t="n">
        <v>75.8</v>
      </c>
      <c r="X26" t="n">
        <v>2</v>
      </c>
      <c r="Y26" t="n">
        <v>28</v>
      </c>
      <c r="Z26" t="n">
        <v>71</v>
      </c>
      <c r="AA26" t="n">
        <v>14</v>
      </c>
      <c r="AB26" t="n">
        <v>36</v>
      </c>
      <c r="AC26" t="n">
        <v>56</v>
      </c>
      <c r="AD26" t="n">
        <v>143</v>
      </c>
      <c r="AE26" t="n">
        <v>71</v>
      </c>
      <c r="AF26" t="n">
        <v>143</v>
      </c>
      <c r="AG26" t="n">
        <v>100</v>
      </c>
      <c r="AH26" t="n">
        <v>36</v>
      </c>
      <c r="AI26" t="n">
        <v>0</v>
      </c>
      <c r="AJ26" t="n">
        <v>52</v>
      </c>
      <c r="AK26" t="inlineStr">
        <is>
          <t>MDS</t>
        </is>
      </c>
      <c r="AL26" t="inlineStr">
        <is>
          <t>High ESTN</t>
        </is>
      </c>
      <c r="AM26" t="inlineStr">
        <is>
          <t>P1</t>
        </is>
      </c>
      <c r="AN26" t="inlineStr">
        <is>
          <t>Critical Excess</t>
        </is>
      </c>
      <c r="AO26" t="inlineStr">
        <is>
          <t>C</t>
        </is>
      </c>
      <c r="AP26" t="inlineStr"/>
      <c r="AQ26">
        <f>IF(AM26="P1",100,IF(AM26="P2",67,IF(AM26="P3",33,0)))</f>
        <v/>
      </c>
      <c r="AR26">
        <f>MIN(100,INT(IF(AI26&gt;0,AI26/Z26,AJ26/AD26)*100))</f>
        <v/>
      </c>
      <c r="AS26">
        <f>IF(AI26+AJ26=0,0,INT(100/D26))</f>
        <v/>
      </c>
      <c r="AT26">
        <f>IF(AO26="A",100,IF(AO26="B",67,33))</f>
        <v/>
      </c>
      <c r="AU26">
        <f>ROUND(0.40*AQ26+0.30*AR26+0.20*AS26+0.10*AT26,0)</f>
        <v/>
      </c>
      <c r="AV26" t="inlineStr">
        <is>
          <t>Opening inventory of 169 and supply of 44 exceed the demand of 18, resulting in a projected surplus of 195. This inventory levels violates the maximum stock threshold of 143 units by 52 units, increasing holding risk.</t>
        </is>
      </c>
    </row>
    <row r="27">
      <c r="A27" t="inlineStr">
        <is>
          <t>BD-24536581-00020</t>
        </is>
      </c>
      <c r="B27" t="inlineStr">
        <is>
          <t>2026-04-17</t>
        </is>
      </c>
      <c r="C27" t="inlineStr">
        <is>
          <t>2026-02-15</t>
        </is>
      </c>
      <c r="D27" t="n">
        <v>2</v>
      </c>
      <c r="E27" t="inlineStr">
        <is>
          <t>SKU_0001</t>
        </is>
      </c>
      <c r="F27" t="inlineStr">
        <is>
          <t>DC4</t>
        </is>
      </c>
      <c r="G27" t="inlineStr">
        <is>
          <t>F1</t>
        </is>
      </c>
      <c r="H27" t="inlineStr">
        <is>
          <t>Seattle</t>
        </is>
      </c>
      <c r="I27" t="inlineStr">
        <is>
          <t>Northwest</t>
        </is>
      </c>
      <c r="J27" t="n">
        <v>47.6062</v>
      </c>
      <c r="K27" t="n">
        <v>-122.3321</v>
      </c>
      <c r="L27" t="inlineStr">
        <is>
          <t>DC</t>
        </is>
      </c>
      <c r="M27" t="inlineStr">
        <is>
          <t>Medical Devices &amp; Diagnostics</t>
        </is>
      </c>
      <c r="N27" t="n">
        <v>195</v>
      </c>
      <c r="O27" t="n">
        <v>17</v>
      </c>
      <c r="P27" t="n">
        <v>0</v>
      </c>
      <c r="Q27" t="n">
        <v>17</v>
      </c>
      <c r="R27" t="n">
        <v>43</v>
      </c>
      <c r="S27" t="n">
        <v>0</v>
      </c>
      <c r="T27" t="n">
        <v>43</v>
      </c>
      <c r="U27" t="n">
        <v>0</v>
      </c>
      <c r="V27" t="n">
        <v>221</v>
      </c>
      <c r="W27" t="n">
        <v>91</v>
      </c>
      <c r="X27" t="n">
        <v>2</v>
      </c>
      <c r="Y27" t="n">
        <v>28</v>
      </c>
      <c r="Z27" t="n">
        <v>71</v>
      </c>
      <c r="AA27" t="n">
        <v>14</v>
      </c>
      <c r="AB27" t="n">
        <v>36</v>
      </c>
      <c r="AC27" t="n">
        <v>56</v>
      </c>
      <c r="AD27" t="n">
        <v>143</v>
      </c>
      <c r="AE27" t="n">
        <v>71</v>
      </c>
      <c r="AF27" t="n">
        <v>143</v>
      </c>
      <c r="AG27" t="n">
        <v>100</v>
      </c>
      <c r="AH27" t="n">
        <v>54</v>
      </c>
      <c r="AI27" t="n">
        <v>0</v>
      </c>
      <c r="AJ27" t="n">
        <v>78</v>
      </c>
      <c r="AK27" t="inlineStr">
        <is>
          <t>MDS</t>
        </is>
      </c>
      <c r="AL27" t="inlineStr">
        <is>
          <t>High ESTN</t>
        </is>
      </c>
      <c r="AM27" t="inlineStr">
        <is>
          <t>P1</t>
        </is>
      </c>
      <c r="AN27" t="inlineStr">
        <is>
          <t>Critical Excess</t>
        </is>
      </c>
      <c r="AO27" t="inlineStr">
        <is>
          <t>C</t>
        </is>
      </c>
      <c r="AP27" t="inlineStr"/>
      <c r="AQ27">
        <f>IF(AM27="P1",100,IF(AM27="P2",67,IF(AM27="P3",33,0)))</f>
        <v/>
      </c>
      <c r="AR27">
        <f>MIN(100,INT(IF(AI27&gt;0,AI27/Z27,AJ27/AD27)*100))</f>
        <v/>
      </c>
      <c r="AS27">
        <f>IF(AI27+AJ27=0,0,INT(100/D27))</f>
        <v/>
      </c>
      <c r="AT27">
        <f>IF(AO27="A",100,IF(AO27="B",67,33))</f>
        <v/>
      </c>
      <c r="AU27">
        <f>ROUND(0.40*AQ27+0.30*AR27+0.20*AS27+0.10*AT27,0)</f>
        <v/>
      </c>
      <c r="AV27" t="inlineStr">
        <is>
          <t>Opening inventory of 195 and supply of 0 exceed the demand of 17, resulting in a projected surplus of 221. This inventory levels violates the maximum stock threshold of 143 units by 78 units, increasing holding risk.</t>
        </is>
      </c>
    </row>
    <row r="28">
      <c r="A28" t="inlineStr">
        <is>
          <t>BD-24536581-00021</t>
        </is>
      </c>
      <c r="B28" t="inlineStr">
        <is>
          <t>2026-04-17</t>
        </is>
      </c>
      <c r="C28" t="inlineStr">
        <is>
          <t>2026-02-22</t>
        </is>
      </c>
      <c r="D28" t="n">
        <v>3</v>
      </c>
      <c r="E28" t="inlineStr">
        <is>
          <t>SKU_0001</t>
        </is>
      </c>
      <c r="F28" t="inlineStr">
        <is>
          <t>DC4</t>
        </is>
      </c>
      <c r="G28" t="inlineStr">
        <is>
          <t>F1</t>
        </is>
      </c>
      <c r="H28" t="inlineStr">
        <is>
          <t>Seattle</t>
        </is>
      </c>
      <c r="I28" t="inlineStr">
        <is>
          <t>Northwest</t>
        </is>
      </c>
      <c r="J28" t="n">
        <v>47.6062</v>
      </c>
      <c r="K28" t="n">
        <v>-122.3321</v>
      </c>
      <c r="L28" t="inlineStr">
        <is>
          <t>DC</t>
        </is>
      </c>
      <c r="M28" t="inlineStr">
        <is>
          <t>Medical Devices &amp; Diagnostics</t>
        </is>
      </c>
      <c r="N28" t="n">
        <v>221</v>
      </c>
      <c r="O28" t="n">
        <v>22</v>
      </c>
      <c r="P28" t="n">
        <v>0</v>
      </c>
      <c r="Q28" t="n">
        <v>22</v>
      </c>
      <c r="R28" t="n">
        <v>0</v>
      </c>
      <c r="S28" t="n">
        <v>0</v>
      </c>
      <c r="T28" t="n">
        <v>0</v>
      </c>
      <c r="U28" t="n">
        <v>0</v>
      </c>
      <c r="V28" t="n">
        <v>199</v>
      </c>
      <c r="W28" t="n">
        <v>63.3</v>
      </c>
      <c r="X28" t="n">
        <v>2</v>
      </c>
      <c r="Y28" t="n">
        <v>28</v>
      </c>
      <c r="Z28" t="n">
        <v>71</v>
      </c>
      <c r="AA28" t="n">
        <v>14</v>
      </c>
      <c r="AB28" t="n">
        <v>36</v>
      </c>
      <c r="AC28" t="n">
        <v>56</v>
      </c>
      <c r="AD28" t="n">
        <v>143</v>
      </c>
      <c r="AE28" t="n">
        <v>71</v>
      </c>
      <c r="AF28" t="n">
        <v>143</v>
      </c>
      <c r="AG28" t="n">
        <v>100</v>
      </c>
      <c r="AH28" t="n">
        <v>39</v>
      </c>
      <c r="AI28" t="n">
        <v>0</v>
      </c>
      <c r="AJ28" t="n">
        <v>56</v>
      </c>
      <c r="AK28" t="inlineStr">
        <is>
          <t>MDS</t>
        </is>
      </c>
      <c r="AL28" t="inlineStr">
        <is>
          <t>High ESTN</t>
        </is>
      </c>
      <c r="AM28" t="inlineStr">
        <is>
          <t>P1</t>
        </is>
      </c>
      <c r="AN28" t="inlineStr">
        <is>
          <t>Critical Excess</t>
        </is>
      </c>
      <c r="AO28" t="inlineStr">
        <is>
          <t>C</t>
        </is>
      </c>
      <c r="AP28" t="inlineStr"/>
      <c r="AQ28">
        <f>IF(AM28="P1",100,IF(AM28="P2",67,IF(AM28="P3",33,0)))</f>
        <v/>
      </c>
      <c r="AR28">
        <f>MIN(100,INT(IF(AI28&gt;0,AI28/Z28,AJ28/AD28)*100))</f>
        <v/>
      </c>
      <c r="AS28">
        <f>IF(AI28+AJ28=0,0,INT(100/D28))</f>
        <v/>
      </c>
      <c r="AT28">
        <f>IF(AO28="A",100,IF(AO28="B",67,33))</f>
        <v/>
      </c>
      <c r="AU28">
        <f>ROUND(0.40*AQ28+0.30*AR28+0.20*AS28+0.10*AT28,0)</f>
        <v/>
      </c>
      <c r="AV28" t="inlineStr">
        <is>
          <t>Opening inventory of 221 and supply of 0 exceed the demand of 22, resulting in a projected surplus of 199. This inventory levels violates the maximum stock threshold of 143 units by 56 units, increasing holding risk.</t>
        </is>
      </c>
    </row>
    <row r="29">
      <c r="A29" t="inlineStr">
        <is>
          <t>BD-24536581-00022</t>
        </is>
      </c>
      <c r="B29" t="inlineStr">
        <is>
          <t>2026-04-17</t>
        </is>
      </c>
      <c r="C29" t="inlineStr">
        <is>
          <t>2026-03-01</t>
        </is>
      </c>
      <c r="D29" t="n">
        <v>4</v>
      </c>
      <c r="E29" t="inlineStr">
        <is>
          <t>SKU_0001</t>
        </is>
      </c>
      <c r="F29" t="inlineStr">
        <is>
          <t>DC4</t>
        </is>
      </c>
      <c r="G29" t="inlineStr">
        <is>
          <t>F1</t>
        </is>
      </c>
      <c r="H29" t="inlineStr">
        <is>
          <t>Seattle</t>
        </is>
      </c>
      <c r="I29" t="inlineStr">
        <is>
          <t>Northwest</t>
        </is>
      </c>
      <c r="J29" t="n">
        <v>47.6062</v>
      </c>
      <c r="K29" t="n">
        <v>-122.3321</v>
      </c>
      <c r="L29" t="inlineStr">
        <is>
          <t>DC</t>
        </is>
      </c>
      <c r="M29" t="inlineStr">
        <is>
          <t>Medical Devices &amp; Diagnostics</t>
        </is>
      </c>
      <c r="N29" t="n">
        <v>199</v>
      </c>
      <c r="O29" t="n">
        <v>12</v>
      </c>
      <c r="P29" t="n">
        <v>0</v>
      </c>
      <c r="Q29" t="n">
        <v>12</v>
      </c>
      <c r="R29" t="n">
        <v>0</v>
      </c>
      <c r="S29" t="n">
        <v>48</v>
      </c>
      <c r="T29" t="n">
        <v>48</v>
      </c>
      <c r="U29" t="n">
        <v>0</v>
      </c>
      <c r="V29" t="n">
        <v>235</v>
      </c>
      <c r="W29" t="n">
        <v>137.1</v>
      </c>
      <c r="X29" t="n">
        <v>2</v>
      </c>
      <c r="Y29" t="n">
        <v>28</v>
      </c>
      <c r="Z29" t="n">
        <v>71</v>
      </c>
      <c r="AA29" t="n">
        <v>14</v>
      </c>
      <c r="AB29" t="n">
        <v>36</v>
      </c>
      <c r="AC29" t="n">
        <v>56</v>
      </c>
      <c r="AD29" t="n">
        <v>143</v>
      </c>
      <c r="AE29" t="n">
        <v>71</v>
      </c>
      <c r="AF29" t="n">
        <v>143</v>
      </c>
      <c r="AG29" t="n">
        <v>100</v>
      </c>
      <c r="AH29" t="n">
        <v>64</v>
      </c>
      <c r="AI29" t="n">
        <v>0</v>
      </c>
      <c r="AJ29" t="n">
        <v>92</v>
      </c>
      <c r="AK29" t="inlineStr">
        <is>
          <t>MDS</t>
        </is>
      </c>
      <c r="AL29" t="inlineStr">
        <is>
          <t>High ESTN</t>
        </is>
      </c>
      <c r="AM29" t="inlineStr">
        <is>
          <t>P1</t>
        </is>
      </c>
      <c r="AN29" t="inlineStr">
        <is>
          <t>Critical Excess</t>
        </is>
      </c>
      <c r="AO29" t="inlineStr">
        <is>
          <t>C</t>
        </is>
      </c>
      <c r="AP29" t="inlineStr"/>
      <c r="AQ29">
        <f>IF(AM29="P1",100,IF(AM29="P2",67,IF(AM29="P3",33,0)))</f>
        <v/>
      </c>
      <c r="AR29">
        <f>MIN(100,INT(IF(AI29&gt;0,AI29/Z29,AJ29/AD29)*100))</f>
        <v/>
      </c>
      <c r="AS29">
        <f>IF(AI29+AJ29=0,0,INT(100/D29))</f>
        <v/>
      </c>
      <c r="AT29">
        <f>IF(AO29="A",100,IF(AO29="B",67,33))</f>
        <v/>
      </c>
      <c r="AU29">
        <f>ROUND(0.40*AQ29+0.30*AR29+0.20*AS29+0.10*AT29,0)</f>
        <v/>
      </c>
      <c r="AV29" t="inlineStr">
        <is>
          <t>Opening inventory of 199 and supply of 48 exceed the demand of 12, resulting in a projected surplus of 235. This inventory levels violates the maximum stock threshold of 143 units by 92 units, increasing holding risk.</t>
        </is>
      </c>
    </row>
    <row r="30">
      <c r="A30" t="inlineStr">
        <is>
          <t>BD-24536581-00023</t>
        </is>
      </c>
      <c r="B30" t="inlineStr">
        <is>
          <t>2026-04-17</t>
        </is>
      </c>
      <c r="C30" t="inlineStr">
        <is>
          <t>2026-03-08</t>
        </is>
      </c>
      <c r="D30" t="n">
        <v>5</v>
      </c>
      <c r="E30" t="inlineStr">
        <is>
          <t>SKU_0001</t>
        </is>
      </c>
      <c r="F30" t="inlineStr">
        <is>
          <t>DC4</t>
        </is>
      </c>
      <c r="G30" t="inlineStr">
        <is>
          <t>F1</t>
        </is>
      </c>
      <c r="H30" t="inlineStr">
        <is>
          <t>Seattle</t>
        </is>
      </c>
      <c r="I30" t="inlineStr">
        <is>
          <t>Northwest</t>
        </is>
      </c>
      <c r="J30" t="n">
        <v>47.6062</v>
      </c>
      <c r="K30" t="n">
        <v>-122.3321</v>
      </c>
      <c r="L30" t="inlineStr">
        <is>
          <t>DC</t>
        </is>
      </c>
      <c r="M30" t="inlineStr">
        <is>
          <t>Medical Devices &amp; Diagnostics</t>
        </is>
      </c>
      <c r="N30" t="n">
        <v>235</v>
      </c>
      <c r="O30" t="n">
        <v>14</v>
      </c>
      <c r="P30" t="n">
        <v>0</v>
      </c>
      <c r="Q30" t="n">
        <v>14</v>
      </c>
      <c r="R30" t="n">
        <v>0</v>
      </c>
      <c r="S30" t="n">
        <v>42</v>
      </c>
      <c r="T30" t="n">
        <v>42</v>
      </c>
      <c r="U30" t="n">
        <v>0</v>
      </c>
      <c r="V30" t="n">
        <v>263</v>
      </c>
      <c r="W30" t="n">
        <v>131.5</v>
      </c>
      <c r="X30" t="n">
        <v>2</v>
      </c>
      <c r="Y30" t="n">
        <v>28</v>
      </c>
      <c r="Z30" t="n">
        <v>71</v>
      </c>
      <c r="AA30" t="n">
        <v>14</v>
      </c>
      <c r="AB30" t="n">
        <v>36</v>
      </c>
      <c r="AC30" t="n">
        <v>56</v>
      </c>
      <c r="AD30" t="n">
        <v>143</v>
      </c>
      <c r="AE30" t="n">
        <v>71</v>
      </c>
      <c r="AF30" t="n">
        <v>143</v>
      </c>
      <c r="AG30" t="n">
        <v>100</v>
      </c>
      <c r="AH30" t="n">
        <v>83</v>
      </c>
      <c r="AI30" t="n">
        <v>0</v>
      </c>
      <c r="AJ30" t="n">
        <v>120</v>
      </c>
      <c r="AK30" t="inlineStr">
        <is>
          <t>MDS</t>
        </is>
      </c>
      <c r="AL30" t="inlineStr">
        <is>
          <t>High ESTN</t>
        </is>
      </c>
      <c r="AM30" t="inlineStr">
        <is>
          <t>P1</t>
        </is>
      </c>
      <c r="AN30" t="inlineStr">
        <is>
          <t>Critical Excess</t>
        </is>
      </c>
      <c r="AO30" t="inlineStr">
        <is>
          <t>C</t>
        </is>
      </c>
      <c r="AP30" t="inlineStr"/>
      <c r="AQ30">
        <f>IF(AM30="P1",100,IF(AM30="P2",67,IF(AM30="P3",33,0)))</f>
        <v/>
      </c>
      <c r="AR30">
        <f>MIN(100,INT(IF(AI30&gt;0,AI30/Z30,AJ30/AD30)*100))</f>
        <v/>
      </c>
      <c r="AS30">
        <f>IF(AI30+AJ30=0,0,INT(100/D30))</f>
        <v/>
      </c>
      <c r="AT30">
        <f>IF(AO30="A",100,IF(AO30="B",67,33))</f>
        <v/>
      </c>
      <c r="AU30">
        <f>ROUND(0.40*AQ30+0.30*AR30+0.20*AS30+0.10*AT30,0)</f>
        <v/>
      </c>
      <c r="AV30" t="inlineStr">
        <is>
          <t>Opening inventory of 235 and supply of 42 exceed the demand of 14, resulting in a projected surplus of 263. This inventory levels violates the maximum stock threshold of 143 units by 120 units, increasing holding risk.</t>
        </is>
      </c>
    </row>
    <row r="31">
      <c r="A31" t="inlineStr">
        <is>
          <t>BD-24536581-00024</t>
        </is>
      </c>
      <c r="B31" t="inlineStr">
        <is>
          <t>2026-04-17</t>
        </is>
      </c>
      <c r="C31" t="inlineStr">
        <is>
          <t>2026-03-15</t>
        </is>
      </c>
      <c r="D31" t="n">
        <v>6</v>
      </c>
      <c r="E31" t="inlineStr">
        <is>
          <t>SKU_0001</t>
        </is>
      </c>
      <c r="F31" t="inlineStr">
        <is>
          <t>DC4</t>
        </is>
      </c>
      <c r="G31" t="inlineStr">
        <is>
          <t>F1</t>
        </is>
      </c>
      <c r="H31" t="inlineStr">
        <is>
          <t>Seattle</t>
        </is>
      </c>
      <c r="I31" t="inlineStr">
        <is>
          <t>Northwest</t>
        </is>
      </c>
      <c r="J31" t="n">
        <v>47.6062</v>
      </c>
      <c r="K31" t="n">
        <v>-122.3321</v>
      </c>
      <c r="L31" t="inlineStr">
        <is>
          <t>DC</t>
        </is>
      </c>
      <c r="M31" t="inlineStr">
        <is>
          <t>Medical Devices &amp; Diagnostics</t>
        </is>
      </c>
      <c r="N31" t="n">
        <v>263</v>
      </c>
      <c r="O31" t="n">
        <v>15</v>
      </c>
      <c r="P31" t="n">
        <v>0</v>
      </c>
      <c r="Q31" t="n">
        <v>15</v>
      </c>
      <c r="R31" t="n">
        <v>35</v>
      </c>
      <c r="S31" t="n">
        <v>0</v>
      </c>
      <c r="T31" t="n">
        <v>35</v>
      </c>
      <c r="U31" t="n">
        <v>0</v>
      </c>
      <c r="V31" t="n">
        <v>283</v>
      </c>
      <c r="W31" t="n">
        <v>132.1</v>
      </c>
      <c r="X31" t="n">
        <v>2</v>
      </c>
      <c r="Y31" t="n">
        <v>28</v>
      </c>
      <c r="Z31" t="n">
        <v>71</v>
      </c>
      <c r="AA31" t="n">
        <v>14</v>
      </c>
      <c r="AB31" t="n">
        <v>36</v>
      </c>
      <c r="AC31" t="n">
        <v>56</v>
      </c>
      <c r="AD31" t="n">
        <v>143</v>
      </c>
      <c r="AE31" t="n">
        <v>71</v>
      </c>
      <c r="AF31" t="n">
        <v>143</v>
      </c>
      <c r="AG31" t="n">
        <v>100</v>
      </c>
      <c r="AH31" t="n">
        <v>97</v>
      </c>
      <c r="AI31" t="n">
        <v>0</v>
      </c>
      <c r="AJ31" t="n">
        <v>140</v>
      </c>
      <c r="AK31" t="inlineStr">
        <is>
          <t>MDS</t>
        </is>
      </c>
      <c r="AL31" t="inlineStr">
        <is>
          <t>High ESTN</t>
        </is>
      </c>
      <c r="AM31" t="inlineStr">
        <is>
          <t>P1</t>
        </is>
      </c>
      <c r="AN31" t="inlineStr">
        <is>
          <t>Critical Excess</t>
        </is>
      </c>
      <c r="AO31" t="inlineStr">
        <is>
          <t>C</t>
        </is>
      </c>
      <c r="AP31" t="inlineStr"/>
      <c r="AQ31">
        <f>IF(AM31="P1",100,IF(AM31="P2",67,IF(AM31="P3",33,0)))</f>
        <v/>
      </c>
      <c r="AR31">
        <f>MIN(100,INT(IF(AI31&gt;0,AI31/Z31,AJ31/AD31)*100))</f>
        <v/>
      </c>
      <c r="AS31">
        <f>IF(AI31+AJ31=0,0,INT(100/D31))</f>
        <v/>
      </c>
      <c r="AT31">
        <f>IF(AO31="A",100,IF(AO31="B",67,33))</f>
        <v/>
      </c>
      <c r="AU31">
        <f>ROUND(0.40*AQ31+0.30*AR31+0.20*AS31+0.10*AT31,0)</f>
        <v/>
      </c>
      <c r="AV31" t="inlineStr">
        <is>
          <t>Opening inventory of 263 and supply of 0 exceed the demand of 15, resulting in a projected surplus of 283. This inventory levels violates the maximum stock threshold of 143 units by 140 units, increasing holding risk.</t>
        </is>
      </c>
    </row>
    <row r="32">
      <c r="A32" t="inlineStr">
        <is>
          <t>BD-24536581-00025</t>
        </is>
      </c>
      <c r="B32" t="inlineStr">
        <is>
          <t>2026-04-17</t>
        </is>
      </c>
      <c r="C32" t="inlineStr">
        <is>
          <t>2026-03-22</t>
        </is>
      </c>
      <c r="D32" t="n">
        <v>7</v>
      </c>
      <c r="E32" t="inlineStr">
        <is>
          <t>SKU_0001</t>
        </is>
      </c>
      <c r="F32" t="inlineStr">
        <is>
          <t>DC4</t>
        </is>
      </c>
      <c r="G32" t="inlineStr">
        <is>
          <t>F1</t>
        </is>
      </c>
      <c r="H32" t="inlineStr">
        <is>
          <t>Seattle</t>
        </is>
      </c>
      <c r="I32" t="inlineStr">
        <is>
          <t>Northwest</t>
        </is>
      </c>
      <c r="J32" t="n">
        <v>47.6062</v>
      </c>
      <c r="K32" t="n">
        <v>-122.3321</v>
      </c>
      <c r="L32" t="inlineStr">
        <is>
          <t>DC</t>
        </is>
      </c>
      <c r="M32" t="inlineStr">
        <is>
          <t>Medical Devices &amp; Diagnostics</t>
        </is>
      </c>
      <c r="N32" t="n">
        <v>283</v>
      </c>
      <c r="O32" t="n">
        <v>20</v>
      </c>
      <c r="P32" t="n">
        <v>0</v>
      </c>
      <c r="Q32" t="n">
        <v>20</v>
      </c>
      <c r="R32" t="n">
        <v>0</v>
      </c>
      <c r="S32" t="n">
        <v>45</v>
      </c>
      <c r="T32" t="n">
        <v>45</v>
      </c>
      <c r="U32" t="n">
        <v>0</v>
      </c>
      <c r="V32" t="n">
        <v>308</v>
      </c>
      <c r="W32" t="n">
        <v>107.8</v>
      </c>
      <c r="X32" t="n">
        <v>2</v>
      </c>
      <c r="Y32" t="n">
        <v>28</v>
      </c>
      <c r="Z32" t="n">
        <v>71</v>
      </c>
      <c r="AA32" t="n">
        <v>14</v>
      </c>
      <c r="AB32" t="n">
        <v>36</v>
      </c>
      <c r="AC32" t="n">
        <v>56</v>
      </c>
      <c r="AD32" t="n">
        <v>143</v>
      </c>
      <c r="AE32" t="n">
        <v>71</v>
      </c>
      <c r="AF32" t="n">
        <v>143</v>
      </c>
      <c r="AG32" t="n">
        <v>100</v>
      </c>
      <c r="AH32" t="n">
        <v>115</v>
      </c>
      <c r="AI32" t="n">
        <v>0</v>
      </c>
      <c r="AJ32" t="n">
        <v>165</v>
      </c>
      <c r="AK32" t="inlineStr">
        <is>
          <t>MDS</t>
        </is>
      </c>
      <c r="AL32" t="inlineStr">
        <is>
          <t>High ESTN</t>
        </is>
      </c>
      <c r="AM32" t="inlineStr">
        <is>
          <t>P1</t>
        </is>
      </c>
      <c r="AN32" t="inlineStr">
        <is>
          <t>Critical Excess</t>
        </is>
      </c>
      <c r="AO32" t="inlineStr">
        <is>
          <t>C</t>
        </is>
      </c>
      <c r="AP32" t="inlineStr"/>
      <c r="AQ32">
        <f>IF(AM32="P1",100,IF(AM32="P2",67,IF(AM32="P3",33,0)))</f>
        <v/>
      </c>
      <c r="AR32">
        <f>MIN(100,INT(IF(AI32&gt;0,AI32/Z32,AJ32/AD32)*100))</f>
        <v/>
      </c>
      <c r="AS32">
        <f>IF(AI32+AJ32=0,0,INT(100/D32))</f>
        <v/>
      </c>
      <c r="AT32">
        <f>IF(AO32="A",100,IF(AO32="B",67,33))</f>
        <v/>
      </c>
      <c r="AU32">
        <f>ROUND(0.40*AQ32+0.30*AR32+0.20*AS32+0.10*AT32,0)</f>
        <v/>
      </c>
      <c r="AV32" t="inlineStr">
        <is>
          <t>Opening inventory of 283 and supply of 45 exceed the demand of 20, resulting in a projected surplus of 308. This inventory levels violates the maximum stock threshold of 143 units by 165 units, increasing holding risk.</t>
        </is>
      </c>
    </row>
    <row r="33">
      <c r="A33" t="inlineStr">
        <is>
          <t>BD-24536581-00026</t>
        </is>
      </c>
      <c r="B33" t="inlineStr">
        <is>
          <t>2026-04-17</t>
        </is>
      </c>
      <c r="C33" t="inlineStr">
        <is>
          <t>2026-03-29</t>
        </is>
      </c>
      <c r="D33" t="n">
        <v>8</v>
      </c>
      <c r="E33" t="inlineStr">
        <is>
          <t>SKU_0001</t>
        </is>
      </c>
      <c r="F33" t="inlineStr">
        <is>
          <t>DC4</t>
        </is>
      </c>
      <c r="G33" t="inlineStr">
        <is>
          <t>F1</t>
        </is>
      </c>
      <c r="H33" t="inlineStr">
        <is>
          <t>Seattle</t>
        </is>
      </c>
      <c r="I33" t="inlineStr">
        <is>
          <t>Northwest</t>
        </is>
      </c>
      <c r="J33" t="n">
        <v>47.6062</v>
      </c>
      <c r="K33" t="n">
        <v>-122.3321</v>
      </c>
      <c r="L33" t="inlineStr">
        <is>
          <t>DC</t>
        </is>
      </c>
      <c r="M33" t="inlineStr">
        <is>
          <t>Medical Devices &amp; Diagnostics</t>
        </is>
      </c>
      <c r="N33" t="n">
        <v>308</v>
      </c>
      <c r="O33" t="n">
        <v>13</v>
      </c>
      <c r="P33" t="n">
        <v>0</v>
      </c>
      <c r="Q33" t="n">
        <v>13</v>
      </c>
      <c r="R33" t="n">
        <v>0</v>
      </c>
      <c r="S33" t="n">
        <v>0</v>
      </c>
      <c r="T33" t="n">
        <v>0</v>
      </c>
      <c r="U33" t="n">
        <v>0</v>
      </c>
      <c r="V33" t="n">
        <v>295</v>
      </c>
      <c r="W33" t="n">
        <v>158.8</v>
      </c>
      <c r="X33" t="n">
        <v>2</v>
      </c>
      <c r="Y33" t="n">
        <v>28</v>
      </c>
      <c r="Z33" t="n">
        <v>71</v>
      </c>
      <c r="AA33" t="n">
        <v>14</v>
      </c>
      <c r="AB33" t="n">
        <v>36</v>
      </c>
      <c r="AC33" t="n">
        <v>56</v>
      </c>
      <c r="AD33" t="n">
        <v>143</v>
      </c>
      <c r="AE33" t="n">
        <v>71</v>
      </c>
      <c r="AF33" t="n">
        <v>143</v>
      </c>
      <c r="AG33" t="n">
        <v>100</v>
      </c>
      <c r="AH33" t="n">
        <v>106</v>
      </c>
      <c r="AI33" t="n">
        <v>0</v>
      </c>
      <c r="AJ33" t="n">
        <v>152</v>
      </c>
      <c r="AK33" t="inlineStr">
        <is>
          <t>MDS</t>
        </is>
      </c>
      <c r="AL33" t="inlineStr">
        <is>
          <t>High ESTN</t>
        </is>
      </c>
      <c r="AM33" t="inlineStr">
        <is>
          <t>P1</t>
        </is>
      </c>
      <c r="AN33" t="inlineStr">
        <is>
          <t>Critical Excess</t>
        </is>
      </c>
      <c r="AO33" t="inlineStr">
        <is>
          <t>C</t>
        </is>
      </c>
      <c r="AP33" t="inlineStr"/>
      <c r="AQ33">
        <f>IF(AM33="P1",100,IF(AM33="P2",67,IF(AM33="P3",33,0)))</f>
        <v/>
      </c>
      <c r="AR33">
        <f>MIN(100,INT(IF(AI33&gt;0,AI33/Z33,AJ33/AD33)*100))</f>
        <v/>
      </c>
      <c r="AS33">
        <f>IF(AI33+AJ33=0,0,INT(100/D33))</f>
        <v/>
      </c>
      <c r="AT33">
        <f>IF(AO33="A",100,IF(AO33="B",67,33))</f>
        <v/>
      </c>
      <c r="AU33">
        <f>ROUND(0.40*AQ33+0.30*AR33+0.20*AS33+0.10*AT33,0)</f>
        <v/>
      </c>
      <c r="AV33" t="inlineStr">
        <is>
          <t>Opening inventory of 308 and supply of 0 exceed the demand of 13, resulting in a projected surplus of 295. This inventory levels violates the maximum stock threshold of 143 units by 152 units, increasing holding risk.</t>
        </is>
      </c>
    </row>
    <row r="34">
      <c r="A34" t="inlineStr">
        <is>
          <t>BD-24536581-00027</t>
        </is>
      </c>
      <c r="B34" t="inlineStr">
        <is>
          <t>2026-04-17</t>
        </is>
      </c>
      <c r="C34" t="inlineStr">
        <is>
          <t>2026-04-05</t>
        </is>
      </c>
      <c r="D34" t="n">
        <v>9</v>
      </c>
      <c r="E34" t="inlineStr">
        <is>
          <t>SKU_0001</t>
        </is>
      </c>
      <c r="F34" t="inlineStr">
        <is>
          <t>DC4</t>
        </is>
      </c>
      <c r="G34" t="inlineStr">
        <is>
          <t>F1</t>
        </is>
      </c>
      <c r="H34" t="inlineStr">
        <is>
          <t>Seattle</t>
        </is>
      </c>
      <c r="I34" t="inlineStr">
        <is>
          <t>Northwest</t>
        </is>
      </c>
      <c r="J34" t="n">
        <v>47.6062</v>
      </c>
      <c r="K34" t="n">
        <v>-122.3321</v>
      </c>
      <c r="L34" t="inlineStr">
        <is>
          <t>DC</t>
        </is>
      </c>
      <c r="M34" t="inlineStr">
        <is>
          <t>Medical Devices &amp; Diagnostics</t>
        </is>
      </c>
      <c r="N34" t="n">
        <v>295</v>
      </c>
      <c r="O34" t="n">
        <v>16</v>
      </c>
      <c r="P34" t="n">
        <v>0</v>
      </c>
      <c r="Q34" t="n">
        <v>16</v>
      </c>
      <c r="R34" t="n">
        <v>0</v>
      </c>
      <c r="S34" t="n">
        <v>51</v>
      </c>
      <c r="T34" t="n">
        <v>51</v>
      </c>
      <c r="U34" t="n">
        <v>0</v>
      </c>
      <c r="V34" t="n">
        <v>330</v>
      </c>
      <c r="W34" t="n">
        <v>144.4</v>
      </c>
      <c r="X34" t="n">
        <v>2</v>
      </c>
      <c r="Y34" t="n">
        <v>28</v>
      </c>
      <c r="Z34" t="n">
        <v>71</v>
      </c>
      <c r="AA34" t="n">
        <v>14</v>
      </c>
      <c r="AB34" t="n">
        <v>36</v>
      </c>
      <c r="AC34" t="n">
        <v>56</v>
      </c>
      <c r="AD34" t="n">
        <v>143</v>
      </c>
      <c r="AE34" t="n">
        <v>71</v>
      </c>
      <c r="AF34" t="n">
        <v>143</v>
      </c>
      <c r="AG34" t="n">
        <v>100</v>
      </c>
      <c r="AH34" t="n">
        <v>130</v>
      </c>
      <c r="AI34" t="n">
        <v>0</v>
      </c>
      <c r="AJ34" t="n">
        <v>187</v>
      </c>
      <c r="AK34" t="inlineStr">
        <is>
          <t>MDS</t>
        </is>
      </c>
      <c r="AL34" t="inlineStr">
        <is>
          <t>High ESTN</t>
        </is>
      </c>
      <c r="AM34" t="inlineStr">
        <is>
          <t>P1</t>
        </is>
      </c>
      <c r="AN34" t="inlineStr">
        <is>
          <t>Critical Excess</t>
        </is>
      </c>
      <c r="AO34" t="inlineStr">
        <is>
          <t>C</t>
        </is>
      </c>
      <c r="AP34" t="inlineStr"/>
      <c r="AQ34">
        <f>IF(AM34="P1",100,IF(AM34="P2",67,IF(AM34="P3",33,0)))</f>
        <v/>
      </c>
      <c r="AR34">
        <f>MIN(100,INT(IF(AI34&gt;0,AI34/Z34,AJ34/AD34)*100))</f>
        <v/>
      </c>
      <c r="AS34">
        <f>IF(AI34+AJ34=0,0,INT(100/D34))</f>
        <v/>
      </c>
      <c r="AT34">
        <f>IF(AO34="A",100,IF(AO34="B",67,33))</f>
        <v/>
      </c>
      <c r="AU34">
        <f>ROUND(0.40*AQ34+0.30*AR34+0.20*AS34+0.10*AT34,0)</f>
        <v/>
      </c>
      <c r="AV34" t="inlineStr">
        <is>
          <t>Opening inventory of 295 and supply of 51 exceed the demand of 16, resulting in a projected surplus of 330. This inventory levels violates the maximum stock threshold of 143 units by 187 units, increasing holding risk.</t>
        </is>
      </c>
    </row>
    <row r="35">
      <c r="A35" t="inlineStr">
        <is>
          <t>BD-24536581-00028</t>
        </is>
      </c>
      <c r="B35" t="inlineStr">
        <is>
          <t>2026-04-17</t>
        </is>
      </c>
      <c r="C35" t="inlineStr">
        <is>
          <t>2026-04-12</t>
        </is>
      </c>
      <c r="D35" t="n">
        <v>10</v>
      </c>
      <c r="E35" t="inlineStr">
        <is>
          <t>SKU_0001</t>
        </is>
      </c>
      <c r="F35" t="inlineStr">
        <is>
          <t>DC4</t>
        </is>
      </c>
      <c r="G35" t="inlineStr">
        <is>
          <t>F1</t>
        </is>
      </c>
      <c r="H35" t="inlineStr">
        <is>
          <t>Seattle</t>
        </is>
      </c>
      <c r="I35" t="inlineStr">
        <is>
          <t>Northwest</t>
        </is>
      </c>
      <c r="J35" t="n">
        <v>47.6062</v>
      </c>
      <c r="K35" t="n">
        <v>-122.3321</v>
      </c>
      <c r="L35" t="inlineStr">
        <is>
          <t>DC</t>
        </is>
      </c>
      <c r="M35" t="inlineStr">
        <is>
          <t>Medical Devices &amp; Diagnostics</t>
        </is>
      </c>
      <c r="N35" t="n">
        <v>330</v>
      </c>
      <c r="O35" t="n">
        <v>14</v>
      </c>
      <c r="P35" t="n">
        <v>0</v>
      </c>
      <c r="Q35" t="n">
        <v>14</v>
      </c>
      <c r="R35" t="n">
        <v>41</v>
      </c>
      <c r="S35" t="n">
        <v>0</v>
      </c>
      <c r="T35" t="n">
        <v>41</v>
      </c>
      <c r="U35" t="n">
        <v>0</v>
      </c>
      <c r="V35" t="n">
        <v>357</v>
      </c>
      <c r="W35" t="n">
        <v>178.5</v>
      </c>
      <c r="X35" t="n">
        <v>2</v>
      </c>
      <c r="Y35" t="n">
        <v>28</v>
      </c>
      <c r="Z35" t="n">
        <v>71</v>
      </c>
      <c r="AA35" t="n">
        <v>14</v>
      </c>
      <c r="AB35" t="n">
        <v>36</v>
      </c>
      <c r="AC35" t="n">
        <v>56</v>
      </c>
      <c r="AD35" t="n">
        <v>143</v>
      </c>
      <c r="AE35" t="n">
        <v>71</v>
      </c>
      <c r="AF35" t="n">
        <v>143</v>
      </c>
      <c r="AG35" t="n">
        <v>100</v>
      </c>
      <c r="AH35" t="n">
        <v>149</v>
      </c>
      <c r="AI35" t="n">
        <v>0</v>
      </c>
      <c r="AJ35" t="n">
        <v>214</v>
      </c>
      <c r="AK35" t="inlineStr">
        <is>
          <t>MDS</t>
        </is>
      </c>
      <c r="AL35" t="inlineStr">
        <is>
          <t>High ESTN</t>
        </is>
      </c>
      <c r="AM35" t="inlineStr">
        <is>
          <t>P1</t>
        </is>
      </c>
      <c r="AN35" t="inlineStr">
        <is>
          <t>Critical Excess</t>
        </is>
      </c>
      <c r="AO35" t="inlineStr">
        <is>
          <t>C</t>
        </is>
      </c>
      <c r="AP35" t="inlineStr"/>
      <c r="AQ35">
        <f>IF(AM35="P1",100,IF(AM35="P2",67,IF(AM35="P3",33,0)))</f>
        <v/>
      </c>
      <c r="AR35">
        <f>MIN(100,INT(IF(AI35&gt;0,AI35/Z35,AJ35/AD35)*100))</f>
        <v/>
      </c>
      <c r="AS35">
        <f>IF(AI35+AJ35=0,0,INT(100/D35))</f>
        <v/>
      </c>
      <c r="AT35">
        <f>IF(AO35="A",100,IF(AO35="B",67,33))</f>
        <v/>
      </c>
      <c r="AU35">
        <f>ROUND(0.40*AQ35+0.30*AR35+0.20*AS35+0.10*AT35,0)</f>
        <v/>
      </c>
      <c r="AV35" t="inlineStr">
        <is>
          <t>Opening inventory of 330 and supply of 0 exceed the demand of 14, resulting in a projected surplus of 357. This inventory levels violates the maximum stock threshold of 143 units by 214 units, increasing holding risk.</t>
        </is>
      </c>
    </row>
    <row r="36">
      <c r="A36" t="inlineStr">
        <is>
          <t>BD-24536581-00029</t>
        </is>
      </c>
      <c r="B36" t="inlineStr">
        <is>
          <t>2026-04-17</t>
        </is>
      </c>
      <c r="C36" t="inlineStr">
        <is>
          <t>2026-04-19</t>
        </is>
      </c>
      <c r="D36" t="n">
        <v>11</v>
      </c>
      <c r="E36" t="inlineStr">
        <is>
          <t>SKU_0001</t>
        </is>
      </c>
      <c r="F36" t="inlineStr">
        <is>
          <t>DC4</t>
        </is>
      </c>
      <c r="G36" t="inlineStr">
        <is>
          <t>F1</t>
        </is>
      </c>
      <c r="H36" t="inlineStr">
        <is>
          <t>Seattle</t>
        </is>
      </c>
      <c r="I36" t="inlineStr">
        <is>
          <t>Northwest</t>
        </is>
      </c>
      <c r="J36" t="n">
        <v>47.6062</v>
      </c>
      <c r="K36" t="n">
        <v>-122.3321</v>
      </c>
      <c r="L36" t="inlineStr">
        <is>
          <t>DC</t>
        </is>
      </c>
      <c r="M36" t="inlineStr">
        <is>
          <t>Medical Devices &amp; Diagnostics</t>
        </is>
      </c>
      <c r="N36" t="n">
        <v>357</v>
      </c>
      <c r="O36" t="n">
        <v>18</v>
      </c>
      <c r="P36" t="n">
        <v>0</v>
      </c>
      <c r="Q36" t="n">
        <v>18</v>
      </c>
      <c r="R36" t="n">
        <v>21</v>
      </c>
      <c r="S36" t="n">
        <v>0</v>
      </c>
      <c r="T36" t="n">
        <v>21</v>
      </c>
      <c r="U36" t="n">
        <v>0</v>
      </c>
      <c r="V36" t="n">
        <v>360</v>
      </c>
      <c r="W36" t="n">
        <v>140</v>
      </c>
      <c r="X36" t="n">
        <v>2</v>
      </c>
      <c r="Y36" t="n">
        <v>28</v>
      </c>
      <c r="Z36" t="n">
        <v>71</v>
      </c>
      <c r="AA36" t="n">
        <v>14</v>
      </c>
      <c r="AB36" t="n">
        <v>36</v>
      </c>
      <c r="AC36" t="n">
        <v>56</v>
      </c>
      <c r="AD36" t="n">
        <v>143</v>
      </c>
      <c r="AE36" t="n">
        <v>71</v>
      </c>
      <c r="AF36" t="n">
        <v>143</v>
      </c>
      <c r="AG36" t="n">
        <v>100</v>
      </c>
      <c r="AH36" t="n">
        <v>151</v>
      </c>
      <c r="AI36" t="n">
        <v>0</v>
      </c>
      <c r="AJ36" t="n">
        <v>217</v>
      </c>
      <c r="AK36" t="inlineStr">
        <is>
          <t>MDS</t>
        </is>
      </c>
      <c r="AL36" t="inlineStr">
        <is>
          <t>High ESTN</t>
        </is>
      </c>
      <c r="AM36" t="inlineStr">
        <is>
          <t>P1</t>
        </is>
      </c>
      <c r="AN36" t="inlineStr">
        <is>
          <t>Critical Excess</t>
        </is>
      </c>
      <c r="AO36" t="inlineStr">
        <is>
          <t>C</t>
        </is>
      </c>
      <c r="AP36" t="inlineStr"/>
      <c r="AQ36">
        <f>IF(AM36="P1",100,IF(AM36="P2",67,IF(AM36="P3",33,0)))</f>
        <v/>
      </c>
      <c r="AR36">
        <f>MIN(100,INT(IF(AI36&gt;0,AI36/Z36,AJ36/AD36)*100))</f>
        <v/>
      </c>
      <c r="AS36">
        <f>IF(AI36+AJ36=0,0,INT(100/D36))</f>
        <v/>
      </c>
      <c r="AT36">
        <f>IF(AO36="A",100,IF(AO36="B",67,33))</f>
        <v/>
      </c>
      <c r="AU36">
        <f>ROUND(0.40*AQ36+0.30*AR36+0.20*AS36+0.10*AT36,0)</f>
        <v/>
      </c>
      <c r="AV36" t="inlineStr">
        <is>
          <t>Opening inventory of 357 and supply of 0 exceed the demand of 18, resulting in a projected surplus of 360. This inventory levels violates the maximum stock threshold of 143 units by 217 units, increasing holding risk.</t>
        </is>
      </c>
    </row>
    <row r="37">
      <c r="A37" t="inlineStr">
        <is>
          <t>BD-24536581-00030</t>
        </is>
      </c>
      <c r="B37" t="inlineStr">
        <is>
          <t>2026-04-17</t>
        </is>
      </c>
      <c r="C37" t="inlineStr">
        <is>
          <t>2026-04-26</t>
        </is>
      </c>
      <c r="D37" t="n">
        <v>12</v>
      </c>
      <c r="E37" t="inlineStr">
        <is>
          <t>SKU_0001</t>
        </is>
      </c>
      <c r="F37" t="inlineStr">
        <is>
          <t>DC4</t>
        </is>
      </c>
      <c r="G37" t="inlineStr">
        <is>
          <t>F1</t>
        </is>
      </c>
      <c r="H37" t="inlineStr">
        <is>
          <t>Seattle</t>
        </is>
      </c>
      <c r="I37" t="inlineStr">
        <is>
          <t>Northwest</t>
        </is>
      </c>
      <c r="J37" t="n">
        <v>47.6062</v>
      </c>
      <c r="K37" t="n">
        <v>-122.3321</v>
      </c>
      <c r="L37" t="inlineStr">
        <is>
          <t>DC</t>
        </is>
      </c>
      <c r="M37" t="inlineStr">
        <is>
          <t>Medical Devices &amp; Diagnostics</t>
        </is>
      </c>
      <c r="N37" t="n">
        <v>360</v>
      </c>
      <c r="O37" t="n">
        <v>22</v>
      </c>
      <c r="P37" t="n">
        <v>0</v>
      </c>
      <c r="Q37" t="n">
        <v>22</v>
      </c>
      <c r="R37" t="n">
        <v>0</v>
      </c>
      <c r="S37" t="n">
        <v>0</v>
      </c>
      <c r="T37" t="n">
        <v>0</v>
      </c>
      <c r="U37" t="n">
        <v>0</v>
      </c>
      <c r="V37" t="n">
        <v>338</v>
      </c>
      <c r="W37" t="n">
        <v>107.5</v>
      </c>
      <c r="X37" t="n">
        <v>2</v>
      </c>
      <c r="Y37" t="n">
        <v>28</v>
      </c>
      <c r="Z37" t="n">
        <v>71</v>
      </c>
      <c r="AA37" t="n">
        <v>14</v>
      </c>
      <c r="AB37" t="n">
        <v>36</v>
      </c>
      <c r="AC37" t="n">
        <v>56</v>
      </c>
      <c r="AD37" t="n">
        <v>143</v>
      </c>
      <c r="AE37" t="n">
        <v>71</v>
      </c>
      <c r="AF37" t="n">
        <v>143</v>
      </c>
      <c r="AG37" t="n">
        <v>100</v>
      </c>
      <c r="AH37" t="n">
        <v>136</v>
      </c>
      <c r="AI37" t="n">
        <v>0</v>
      </c>
      <c r="AJ37" t="n">
        <v>195</v>
      </c>
      <c r="AK37" t="inlineStr">
        <is>
          <t>MDS</t>
        </is>
      </c>
      <c r="AL37" t="inlineStr">
        <is>
          <t>High ESTN</t>
        </is>
      </c>
      <c r="AM37" t="inlineStr">
        <is>
          <t>P1</t>
        </is>
      </c>
      <c r="AN37" t="inlineStr">
        <is>
          <t>Critical Excess</t>
        </is>
      </c>
      <c r="AO37" t="inlineStr">
        <is>
          <t>C</t>
        </is>
      </c>
      <c r="AP37" t="inlineStr"/>
      <c r="AQ37">
        <f>IF(AM37="P1",100,IF(AM37="P2",67,IF(AM37="P3",33,0)))</f>
        <v/>
      </c>
      <c r="AR37">
        <f>MIN(100,INT(IF(AI37&gt;0,AI37/Z37,AJ37/AD37)*100))</f>
        <v/>
      </c>
      <c r="AS37">
        <f>IF(AI37+AJ37=0,0,INT(100/D37))</f>
        <v/>
      </c>
      <c r="AT37">
        <f>IF(AO37="A",100,IF(AO37="B",67,33))</f>
        <v/>
      </c>
      <c r="AU37">
        <f>ROUND(0.40*AQ37+0.30*AR37+0.20*AS37+0.10*AT37,0)</f>
        <v/>
      </c>
      <c r="AV37" t="inlineStr">
        <is>
          <t>Opening inventory of 360 and supply of 0 exceed the demand of 22, resulting in a projected surplus of 338. This inventory levels violates the maximum stock threshold of 143 units by 195 units, increasing holding risk.</t>
        </is>
      </c>
    </row>
    <row r="38">
      <c r="A38" t="inlineStr"/>
      <c r="B38" t="inlineStr">
        <is>
          <t>2026-04-17</t>
        </is>
      </c>
      <c r="C38" t="inlineStr">
        <is>
          <t>2026-02-08</t>
        </is>
      </c>
      <c r="D38" t="n">
        <v>1</v>
      </c>
      <c r="E38" t="inlineStr">
        <is>
          <t>SKU_0001</t>
        </is>
      </c>
      <c r="F38" t="inlineStr">
        <is>
          <t>DC5</t>
        </is>
      </c>
      <c r="G38" t="inlineStr">
        <is>
          <t>F1</t>
        </is>
      </c>
      <c r="H38" t="inlineStr">
        <is>
          <t>Miami</t>
        </is>
      </c>
      <c r="I38" t="inlineStr">
        <is>
          <t>Southeast</t>
        </is>
      </c>
      <c r="J38" t="n">
        <v>25.7617</v>
      </c>
      <c r="K38" t="n">
        <v>-80.1918</v>
      </c>
      <c r="L38" t="inlineStr">
        <is>
          <t>DC</t>
        </is>
      </c>
      <c r="M38" t="inlineStr">
        <is>
          <t>Medical Devices &amp; Diagnostics</t>
        </is>
      </c>
      <c r="N38" t="n">
        <v>189</v>
      </c>
      <c r="O38" t="n">
        <v>42</v>
      </c>
      <c r="P38" t="n">
        <v>0</v>
      </c>
      <c r="Q38" t="n">
        <v>42</v>
      </c>
      <c r="R38" t="n">
        <v>0</v>
      </c>
      <c r="S38" t="n">
        <v>409</v>
      </c>
      <c r="T38" t="n">
        <v>409</v>
      </c>
      <c r="U38" t="n">
        <v>0</v>
      </c>
      <c r="V38" t="n">
        <v>556</v>
      </c>
      <c r="W38" t="n">
        <v>92.7</v>
      </c>
      <c r="X38" t="n">
        <v>3</v>
      </c>
      <c r="Y38" t="n">
        <v>28</v>
      </c>
      <c r="Z38" t="n">
        <v>237</v>
      </c>
      <c r="AA38" t="n">
        <v>21</v>
      </c>
      <c r="AB38" t="n">
        <v>178</v>
      </c>
      <c r="AC38" t="n">
        <v>76</v>
      </c>
      <c r="AD38" t="n">
        <v>647</v>
      </c>
      <c r="AE38" t="n">
        <v>237</v>
      </c>
      <c r="AF38" t="n">
        <v>647</v>
      </c>
      <c r="AG38" t="n">
        <v>100</v>
      </c>
      <c r="AH38" t="n">
        <v>0</v>
      </c>
      <c r="AI38" t="n">
        <v>0</v>
      </c>
      <c r="AJ38" t="n">
        <v>0</v>
      </c>
      <c r="AK38" t="inlineStr">
        <is>
          <t>MDS</t>
        </is>
      </c>
      <c r="AL38" t="inlineStr">
        <is>
          <t>None</t>
        </is>
      </c>
      <c r="AM38" t="inlineStr">
        <is>
          <t>None</t>
        </is>
      </c>
      <c r="AN38" t="inlineStr">
        <is>
          <t>Healthy</t>
        </is>
      </c>
      <c r="AO38" t="inlineStr">
        <is>
          <t>C</t>
        </is>
      </c>
      <c r="AP38" t="inlineStr"/>
      <c r="AQ38">
        <f>IF(AM38="P1",100,IF(AM38="P2",67,IF(AM38="P3",33,0)))</f>
        <v/>
      </c>
      <c r="AR38">
        <f>MIN(100,INT(IF(AI38&gt;0,AI38/Z38,AJ38/AD38)*100))</f>
        <v/>
      </c>
      <c r="AS38">
        <f>IF(AI38+AJ38=0,0,INT(100/D38))</f>
        <v/>
      </c>
      <c r="AT38">
        <f>IF(AO38="A",100,IF(AO38="B",67,33))</f>
        <v/>
      </c>
      <c r="AU38">
        <f>ROUND(0.40*AQ38+0.30*AR38+0.20*AS38+0.10*AT38,0)</f>
        <v/>
      </c>
      <c r="AV38" t="inlineStr"/>
    </row>
    <row r="39">
      <c r="A39" t="inlineStr"/>
      <c r="B39" t="inlineStr">
        <is>
          <t>2026-04-17</t>
        </is>
      </c>
      <c r="C39" t="inlineStr">
        <is>
          <t>2026-02-15</t>
        </is>
      </c>
      <c r="D39" t="n">
        <v>2</v>
      </c>
      <c r="E39" t="inlineStr">
        <is>
          <t>SKU_0001</t>
        </is>
      </c>
      <c r="F39" t="inlineStr">
        <is>
          <t>DC5</t>
        </is>
      </c>
      <c r="G39" t="inlineStr">
        <is>
          <t>F1</t>
        </is>
      </c>
      <c r="H39" t="inlineStr">
        <is>
          <t>Miami</t>
        </is>
      </c>
      <c r="I39" t="inlineStr">
        <is>
          <t>Southeast</t>
        </is>
      </c>
      <c r="J39" t="n">
        <v>25.7617</v>
      </c>
      <c r="K39" t="n">
        <v>-80.1918</v>
      </c>
      <c r="L39" t="inlineStr">
        <is>
          <t>DC</t>
        </is>
      </c>
      <c r="M39" t="inlineStr">
        <is>
          <t>Medical Devices &amp; Diagnostics</t>
        </is>
      </c>
      <c r="N39" t="n">
        <v>556</v>
      </c>
      <c r="O39" t="n">
        <v>73</v>
      </c>
      <c r="P39" t="n">
        <v>0</v>
      </c>
      <c r="Q39" t="n">
        <v>73</v>
      </c>
      <c r="R39" t="n">
        <v>0</v>
      </c>
      <c r="S39" t="n">
        <v>0</v>
      </c>
      <c r="T39" t="n">
        <v>0</v>
      </c>
      <c r="U39" t="n">
        <v>0</v>
      </c>
      <c r="V39" t="n">
        <v>483</v>
      </c>
      <c r="W39" t="n">
        <v>46.3</v>
      </c>
      <c r="X39" t="n">
        <v>3</v>
      </c>
      <c r="Y39" t="n">
        <v>28</v>
      </c>
      <c r="Z39" t="n">
        <v>237</v>
      </c>
      <c r="AA39" t="n">
        <v>21</v>
      </c>
      <c r="AB39" t="n">
        <v>178</v>
      </c>
      <c r="AC39" t="n">
        <v>76</v>
      </c>
      <c r="AD39" t="n">
        <v>647</v>
      </c>
      <c r="AE39" t="n">
        <v>237</v>
      </c>
      <c r="AF39" t="n">
        <v>647</v>
      </c>
      <c r="AG39" t="n">
        <v>100</v>
      </c>
      <c r="AH39" t="n">
        <v>0</v>
      </c>
      <c r="AI39" t="n">
        <v>0</v>
      </c>
      <c r="AJ39" t="n">
        <v>0</v>
      </c>
      <c r="AK39" t="inlineStr">
        <is>
          <t>MDS</t>
        </is>
      </c>
      <c r="AL39" t="inlineStr">
        <is>
          <t>None</t>
        </is>
      </c>
      <c r="AM39" t="inlineStr">
        <is>
          <t>None</t>
        </is>
      </c>
      <c r="AN39" t="inlineStr">
        <is>
          <t>Healthy</t>
        </is>
      </c>
      <c r="AO39" t="inlineStr">
        <is>
          <t>C</t>
        </is>
      </c>
      <c r="AP39" t="inlineStr"/>
      <c r="AQ39">
        <f>IF(AM39="P1",100,IF(AM39="P2",67,IF(AM39="P3",33,0)))</f>
        <v/>
      </c>
      <c r="AR39">
        <f>MIN(100,INT(IF(AI39&gt;0,AI39/Z39,AJ39/AD39)*100))</f>
        <v/>
      </c>
      <c r="AS39">
        <f>IF(AI39+AJ39=0,0,INT(100/D39))</f>
        <v/>
      </c>
      <c r="AT39">
        <f>IF(AO39="A",100,IF(AO39="B",67,33))</f>
        <v/>
      </c>
      <c r="AU39">
        <f>ROUND(0.40*AQ39+0.30*AR39+0.20*AS39+0.10*AT39,0)</f>
        <v/>
      </c>
      <c r="AV39" t="inlineStr"/>
    </row>
    <row r="40">
      <c r="A40" t="inlineStr"/>
      <c r="B40" t="inlineStr">
        <is>
          <t>2026-04-17</t>
        </is>
      </c>
      <c r="C40" t="inlineStr">
        <is>
          <t>2026-02-22</t>
        </is>
      </c>
      <c r="D40" t="n">
        <v>3</v>
      </c>
      <c r="E40" t="inlineStr">
        <is>
          <t>SKU_0001</t>
        </is>
      </c>
      <c r="F40" t="inlineStr">
        <is>
          <t>DC5</t>
        </is>
      </c>
      <c r="G40" t="inlineStr">
        <is>
          <t>F1</t>
        </is>
      </c>
      <c r="H40" t="inlineStr">
        <is>
          <t>Miami</t>
        </is>
      </c>
      <c r="I40" t="inlineStr">
        <is>
          <t>Southeast</t>
        </is>
      </c>
      <c r="J40" t="n">
        <v>25.7617</v>
      </c>
      <c r="K40" t="n">
        <v>-80.1918</v>
      </c>
      <c r="L40" t="inlineStr">
        <is>
          <t>DC</t>
        </is>
      </c>
      <c r="M40" t="inlineStr">
        <is>
          <t>Medical Devices &amp; Diagnostics</t>
        </is>
      </c>
      <c r="N40" t="n">
        <v>483</v>
      </c>
      <c r="O40" t="n">
        <v>66</v>
      </c>
      <c r="P40" t="n">
        <v>0</v>
      </c>
      <c r="Q40" t="n">
        <v>66</v>
      </c>
      <c r="R40" t="n">
        <v>0</v>
      </c>
      <c r="S40" t="n">
        <v>103</v>
      </c>
      <c r="T40" t="n">
        <v>103</v>
      </c>
      <c r="U40" t="n">
        <v>0</v>
      </c>
      <c r="V40" t="n">
        <v>520</v>
      </c>
      <c r="W40" t="n">
        <v>55.2</v>
      </c>
      <c r="X40" t="n">
        <v>3</v>
      </c>
      <c r="Y40" t="n">
        <v>28</v>
      </c>
      <c r="Z40" t="n">
        <v>237</v>
      </c>
      <c r="AA40" t="n">
        <v>21</v>
      </c>
      <c r="AB40" t="n">
        <v>178</v>
      </c>
      <c r="AC40" t="n">
        <v>76</v>
      </c>
      <c r="AD40" t="n">
        <v>647</v>
      </c>
      <c r="AE40" t="n">
        <v>237</v>
      </c>
      <c r="AF40" t="n">
        <v>647</v>
      </c>
      <c r="AG40" t="n">
        <v>100</v>
      </c>
      <c r="AH40" t="n">
        <v>0</v>
      </c>
      <c r="AI40" t="n">
        <v>0</v>
      </c>
      <c r="AJ40" t="n">
        <v>0</v>
      </c>
      <c r="AK40" t="inlineStr">
        <is>
          <t>MDS</t>
        </is>
      </c>
      <c r="AL40" t="inlineStr">
        <is>
          <t>None</t>
        </is>
      </c>
      <c r="AM40" t="inlineStr">
        <is>
          <t>None</t>
        </is>
      </c>
      <c r="AN40" t="inlineStr">
        <is>
          <t>Healthy</t>
        </is>
      </c>
      <c r="AO40" t="inlineStr">
        <is>
          <t>C</t>
        </is>
      </c>
      <c r="AP40" t="inlineStr"/>
      <c r="AQ40">
        <f>IF(AM40="P1",100,IF(AM40="P2",67,IF(AM40="P3",33,0)))</f>
        <v/>
      </c>
      <c r="AR40">
        <f>MIN(100,INT(IF(AI40&gt;0,AI40/Z40,AJ40/AD40)*100))</f>
        <v/>
      </c>
      <c r="AS40">
        <f>IF(AI40+AJ40=0,0,INT(100/D40))</f>
        <v/>
      </c>
      <c r="AT40">
        <f>IF(AO40="A",100,IF(AO40="B",67,33))</f>
        <v/>
      </c>
      <c r="AU40">
        <f>ROUND(0.40*AQ40+0.30*AR40+0.20*AS40+0.10*AT40,0)</f>
        <v/>
      </c>
      <c r="AV40" t="inlineStr"/>
    </row>
    <row r="41">
      <c r="A41" t="inlineStr"/>
      <c r="B41" t="inlineStr">
        <is>
          <t>2026-04-17</t>
        </is>
      </c>
      <c r="C41" t="inlineStr">
        <is>
          <t>2026-03-01</t>
        </is>
      </c>
      <c r="D41" t="n">
        <v>4</v>
      </c>
      <c r="E41" t="inlineStr">
        <is>
          <t>SKU_0001</t>
        </is>
      </c>
      <c r="F41" t="inlineStr">
        <is>
          <t>DC5</t>
        </is>
      </c>
      <c r="G41" t="inlineStr">
        <is>
          <t>F1</t>
        </is>
      </c>
      <c r="H41" t="inlineStr">
        <is>
          <t>Miami</t>
        </is>
      </c>
      <c r="I41" t="inlineStr">
        <is>
          <t>Southeast</t>
        </is>
      </c>
      <c r="J41" t="n">
        <v>25.7617</v>
      </c>
      <c r="K41" t="n">
        <v>-80.1918</v>
      </c>
      <c r="L41" t="inlineStr">
        <is>
          <t>DC</t>
        </is>
      </c>
      <c r="M41" t="inlineStr">
        <is>
          <t>Medical Devices &amp; Diagnostics</t>
        </is>
      </c>
      <c r="N41" t="n">
        <v>520</v>
      </c>
      <c r="O41" t="n">
        <v>73</v>
      </c>
      <c r="P41" t="n">
        <v>0</v>
      </c>
      <c r="Q41" t="n">
        <v>73</v>
      </c>
      <c r="R41" t="n">
        <v>0</v>
      </c>
      <c r="S41" t="n">
        <v>0</v>
      </c>
      <c r="T41" t="n">
        <v>0</v>
      </c>
      <c r="U41" t="n">
        <v>0</v>
      </c>
      <c r="V41" t="n">
        <v>447</v>
      </c>
      <c r="W41" t="n">
        <v>42.9</v>
      </c>
      <c r="X41" t="n">
        <v>3</v>
      </c>
      <c r="Y41" t="n">
        <v>28</v>
      </c>
      <c r="Z41" t="n">
        <v>237</v>
      </c>
      <c r="AA41" t="n">
        <v>21</v>
      </c>
      <c r="AB41" t="n">
        <v>178</v>
      </c>
      <c r="AC41" t="n">
        <v>76</v>
      </c>
      <c r="AD41" t="n">
        <v>647</v>
      </c>
      <c r="AE41" t="n">
        <v>237</v>
      </c>
      <c r="AF41" t="n">
        <v>647</v>
      </c>
      <c r="AG41" t="n">
        <v>100</v>
      </c>
      <c r="AH41" t="n">
        <v>0</v>
      </c>
      <c r="AI41" t="n">
        <v>0</v>
      </c>
      <c r="AJ41" t="n">
        <v>0</v>
      </c>
      <c r="AK41" t="inlineStr">
        <is>
          <t>MDS</t>
        </is>
      </c>
      <c r="AL41" t="inlineStr">
        <is>
          <t>None</t>
        </is>
      </c>
      <c r="AM41" t="inlineStr">
        <is>
          <t>None</t>
        </is>
      </c>
      <c r="AN41" t="inlineStr">
        <is>
          <t>Healthy</t>
        </is>
      </c>
      <c r="AO41" t="inlineStr">
        <is>
          <t>C</t>
        </is>
      </c>
      <c r="AP41" t="inlineStr"/>
      <c r="AQ41">
        <f>IF(AM41="P1",100,IF(AM41="P2",67,IF(AM41="P3",33,0)))</f>
        <v/>
      </c>
      <c r="AR41">
        <f>MIN(100,INT(IF(AI41&gt;0,AI41/Z41,AJ41/AD41)*100))</f>
        <v/>
      </c>
      <c r="AS41">
        <f>IF(AI41+AJ41=0,0,INT(100/D41))</f>
        <v/>
      </c>
      <c r="AT41">
        <f>IF(AO41="A",100,IF(AO41="B",67,33))</f>
        <v/>
      </c>
      <c r="AU41">
        <f>ROUND(0.40*AQ41+0.30*AR41+0.20*AS41+0.10*AT41,0)</f>
        <v/>
      </c>
      <c r="AV41" t="inlineStr"/>
    </row>
    <row r="42">
      <c r="A42" t="inlineStr"/>
      <c r="B42" t="inlineStr">
        <is>
          <t>2026-04-17</t>
        </is>
      </c>
      <c r="C42" t="inlineStr">
        <is>
          <t>2026-03-08</t>
        </is>
      </c>
      <c r="D42" t="n">
        <v>5</v>
      </c>
      <c r="E42" t="inlineStr">
        <is>
          <t>SKU_0001</t>
        </is>
      </c>
      <c r="F42" t="inlineStr">
        <is>
          <t>DC5</t>
        </is>
      </c>
      <c r="G42" t="inlineStr">
        <is>
          <t>F1</t>
        </is>
      </c>
      <c r="H42" t="inlineStr">
        <is>
          <t>Miami</t>
        </is>
      </c>
      <c r="I42" t="inlineStr">
        <is>
          <t>Southeast</t>
        </is>
      </c>
      <c r="J42" t="n">
        <v>25.7617</v>
      </c>
      <c r="K42" t="n">
        <v>-80.1918</v>
      </c>
      <c r="L42" t="inlineStr">
        <is>
          <t>DC</t>
        </is>
      </c>
      <c r="M42" t="inlineStr">
        <is>
          <t>Medical Devices &amp; Diagnostics</t>
        </is>
      </c>
      <c r="N42" t="n">
        <v>447</v>
      </c>
      <c r="O42" t="n">
        <v>61</v>
      </c>
      <c r="P42" t="n">
        <v>0</v>
      </c>
      <c r="Q42" t="n">
        <v>61</v>
      </c>
      <c r="R42" t="n">
        <v>0</v>
      </c>
      <c r="S42" t="n">
        <v>0</v>
      </c>
      <c r="T42" t="n">
        <v>0</v>
      </c>
      <c r="U42" t="n">
        <v>0</v>
      </c>
      <c r="V42" t="n">
        <v>386</v>
      </c>
      <c r="W42" t="n">
        <v>44.3</v>
      </c>
      <c r="X42" t="n">
        <v>3</v>
      </c>
      <c r="Y42" t="n">
        <v>28</v>
      </c>
      <c r="Z42" t="n">
        <v>237</v>
      </c>
      <c r="AA42" t="n">
        <v>21</v>
      </c>
      <c r="AB42" t="n">
        <v>178</v>
      </c>
      <c r="AC42" t="n">
        <v>76</v>
      </c>
      <c r="AD42" t="n">
        <v>647</v>
      </c>
      <c r="AE42" t="n">
        <v>237</v>
      </c>
      <c r="AF42" t="n">
        <v>647</v>
      </c>
      <c r="AG42" t="n">
        <v>100</v>
      </c>
      <c r="AH42" t="n">
        <v>0</v>
      </c>
      <c r="AI42" t="n">
        <v>0</v>
      </c>
      <c r="AJ42" t="n">
        <v>0</v>
      </c>
      <c r="AK42" t="inlineStr">
        <is>
          <t>MDS</t>
        </is>
      </c>
      <c r="AL42" t="inlineStr">
        <is>
          <t>None</t>
        </is>
      </c>
      <c r="AM42" t="inlineStr">
        <is>
          <t>None</t>
        </is>
      </c>
      <c r="AN42" t="inlineStr">
        <is>
          <t>Healthy</t>
        </is>
      </c>
      <c r="AO42" t="inlineStr">
        <is>
          <t>C</t>
        </is>
      </c>
      <c r="AP42" t="inlineStr"/>
      <c r="AQ42">
        <f>IF(AM42="P1",100,IF(AM42="P2",67,IF(AM42="P3",33,0)))</f>
        <v/>
      </c>
      <c r="AR42">
        <f>MIN(100,INT(IF(AI42&gt;0,AI42/Z42,AJ42/AD42)*100))</f>
        <v/>
      </c>
      <c r="AS42">
        <f>IF(AI42+AJ42=0,0,INT(100/D42))</f>
        <v/>
      </c>
      <c r="AT42">
        <f>IF(AO42="A",100,IF(AO42="B",67,33))</f>
        <v/>
      </c>
      <c r="AU42">
        <f>ROUND(0.40*AQ42+0.30*AR42+0.20*AS42+0.10*AT42,0)</f>
        <v/>
      </c>
      <c r="AV42" t="inlineStr"/>
    </row>
    <row r="43">
      <c r="A43" t="inlineStr"/>
      <c r="B43" t="inlineStr">
        <is>
          <t>2026-04-17</t>
        </is>
      </c>
      <c r="C43" t="inlineStr">
        <is>
          <t>2026-03-15</t>
        </is>
      </c>
      <c r="D43" t="n">
        <v>6</v>
      </c>
      <c r="E43" t="inlineStr">
        <is>
          <t>SKU_0001</t>
        </is>
      </c>
      <c r="F43" t="inlineStr">
        <is>
          <t>DC5</t>
        </is>
      </c>
      <c r="G43" t="inlineStr">
        <is>
          <t>F1</t>
        </is>
      </c>
      <c r="H43" t="inlineStr">
        <is>
          <t>Miami</t>
        </is>
      </c>
      <c r="I43" t="inlineStr">
        <is>
          <t>Southeast</t>
        </is>
      </c>
      <c r="J43" t="n">
        <v>25.7617</v>
      </c>
      <c r="K43" t="n">
        <v>-80.1918</v>
      </c>
      <c r="L43" t="inlineStr">
        <is>
          <t>DC</t>
        </is>
      </c>
      <c r="M43" t="inlineStr">
        <is>
          <t>Medical Devices &amp; Diagnostics</t>
        </is>
      </c>
      <c r="N43" t="n">
        <v>386</v>
      </c>
      <c r="O43" t="n">
        <v>44</v>
      </c>
      <c r="P43" t="n">
        <v>0</v>
      </c>
      <c r="Q43" t="n">
        <v>44</v>
      </c>
      <c r="R43" t="n">
        <v>0</v>
      </c>
      <c r="S43" t="n">
        <v>152</v>
      </c>
      <c r="T43" t="n">
        <v>152</v>
      </c>
      <c r="U43" t="n">
        <v>0</v>
      </c>
      <c r="V43" t="n">
        <v>494</v>
      </c>
      <c r="W43" t="n">
        <v>78.59999999999999</v>
      </c>
      <c r="X43" t="n">
        <v>3</v>
      </c>
      <c r="Y43" t="n">
        <v>28</v>
      </c>
      <c r="Z43" t="n">
        <v>237</v>
      </c>
      <c r="AA43" t="n">
        <v>21</v>
      </c>
      <c r="AB43" t="n">
        <v>178</v>
      </c>
      <c r="AC43" t="n">
        <v>76</v>
      </c>
      <c r="AD43" t="n">
        <v>647</v>
      </c>
      <c r="AE43" t="n">
        <v>237</v>
      </c>
      <c r="AF43" t="n">
        <v>647</v>
      </c>
      <c r="AG43" t="n">
        <v>100</v>
      </c>
      <c r="AH43" t="n">
        <v>0</v>
      </c>
      <c r="AI43" t="n">
        <v>0</v>
      </c>
      <c r="AJ43" t="n">
        <v>0</v>
      </c>
      <c r="AK43" t="inlineStr">
        <is>
          <t>MDS</t>
        </is>
      </c>
      <c r="AL43" t="inlineStr">
        <is>
          <t>None</t>
        </is>
      </c>
      <c r="AM43" t="inlineStr">
        <is>
          <t>None</t>
        </is>
      </c>
      <c r="AN43" t="inlineStr">
        <is>
          <t>Healthy</t>
        </is>
      </c>
      <c r="AO43" t="inlineStr">
        <is>
          <t>C</t>
        </is>
      </c>
      <c r="AP43" t="inlineStr"/>
      <c r="AQ43">
        <f>IF(AM43="P1",100,IF(AM43="P2",67,IF(AM43="P3",33,0)))</f>
        <v/>
      </c>
      <c r="AR43">
        <f>MIN(100,INT(IF(AI43&gt;0,AI43/Z43,AJ43/AD43)*100))</f>
        <v/>
      </c>
      <c r="AS43">
        <f>IF(AI43+AJ43=0,0,INT(100/D43))</f>
        <v/>
      </c>
      <c r="AT43">
        <f>IF(AO43="A",100,IF(AO43="B",67,33))</f>
        <v/>
      </c>
      <c r="AU43">
        <f>ROUND(0.40*AQ43+0.30*AR43+0.20*AS43+0.10*AT43,0)</f>
        <v/>
      </c>
      <c r="AV43" t="inlineStr"/>
    </row>
    <row r="44">
      <c r="A44" t="inlineStr"/>
      <c r="B44" t="inlineStr">
        <is>
          <t>2026-04-17</t>
        </is>
      </c>
      <c r="C44" t="inlineStr">
        <is>
          <t>2026-03-22</t>
        </is>
      </c>
      <c r="D44" t="n">
        <v>7</v>
      </c>
      <c r="E44" t="inlineStr">
        <is>
          <t>SKU_0001</t>
        </is>
      </c>
      <c r="F44" t="inlineStr">
        <is>
          <t>DC5</t>
        </is>
      </c>
      <c r="G44" t="inlineStr">
        <is>
          <t>F1</t>
        </is>
      </c>
      <c r="H44" t="inlineStr">
        <is>
          <t>Miami</t>
        </is>
      </c>
      <c r="I44" t="inlineStr">
        <is>
          <t>Southeast</t>
        </is>
      </c>
      <c r="J44" t="n">
        <v>25.7617</v>
      </c>
      <c r="K44" t="n">
        <v>-80.1918</v>
      </c>
      <c r="L44" t="inlineStr">
        <is>
          <t>DC</t>
        </is>
      </c>
      <c r="M44" t="inlineStr">
        <is>
          <t>Medical Devices &amp; Diagnostics</t>
        </is>
      </c>
      <c r="N44" t="n">
        <v>494</v>
      </c>
      <c r="O44" t="n">
        <v>50</v>
      </c>
      <c r="P44" t="n">
        <v>0</v>
      </c>
      <c r="Q44" t="n">
        <v>50</v>
      </c>
      <c r="R44" t="n">
        <v>0</v>
      </c>
      <c r="S44" t="n">
        <v>0</v>
      </c>
      <c r="T44" t="n">
        <v>0</v>
      </c>
      <c r="U44" t="n">
        <v>0</v>
      </c>
      <c r="V44" t="n">
        <v>444</v>
      </c>
      <c r="W44" t="n">
        <v>62.2</v>
      </c>
      <c r="X44" t="n">
        <v>3</v>
      </c>
      <c r="Y44" t="n">
        <v>28</v>
      </c>
      <c r="Z44" t="n">
        <v>237</v>
      </c>
      <c r="AA44" t="n">
        <v>21</v>
      </c>
      <c r="AB44" t="n">
        <v>178</v>
      </c>
      <c r="AC44" t="n">
        <v>76</v>
      </c>
      <c r="AD44" t="n">
        <v>647</v>
      </c>
      <c r="AE44" t="n">
        <v>237</v>
      </c>
      <c r="AF44" t="n">
        <v>647</v>
      </c>
      <c r="AG44" t="n">
        <v>100</v>
      </c>
      <c r="AH44" t="n">
        <v>0</v>
      </c>
      <c r="AI44" t="n">
        <v>0</v>
      </c>
      <c r="AJ44" t="n">
        <v>0</v>
      </c>
      <c r="AK44" t="inlineStr">
        <is>
          <t>MDS</t>
        </is>
      </c>
      <c r="AL44" t="inlineStr">
        <is>
          <t>None</t>
        </is>
      </c>
      <c r="AM44" t="inlineStr">
        <is>
          <t>None</t>
        </is>
      </c>
      <c r="AN44" t="inlineStr">
        <is>
          <t>Healthy</t>
        </is>
      </c>
      <c r="AO44" t="inlineStr">
        <is>
          <t>C</t>
        </is>
      </c>
      <c r="AP44" t="inlineStr"/>
      <c r="AQ44">
        <f>IF(AM44="P1",100,IF(AM44="P2",67,IF(AM44="P3",33,0)))</f>
        <v/>
      </c>
      <c r="AR44">
        <f>MIN(100,INT(IF(AI44&gt;0,AI44/Z44,AJ44/AD44)*100))</f>
        <v/>
      </c>
      <c r="AS44">
        <f>IF(AI44+AJ44=0,0,INT(100/D44))</f>
        <v/>
      </c>
      <c r="AT44">
        <f>IF(AO44="A",100,IF(AO44="B",67,33))</f>
        <v/>
      </c>
      <c r="AU44">
        <f>ROUND(0.40*AQ44+0.30*AR44+0.20*AS44+0.10*AT44,0)</f>
        <v/>
      </c>
      <c r="AV44" t="inlineStr"/>
    </row>
    <row r="45">
      <c r="A45" t="inlineStr"/>
      <c r="B45" t="inlineStr">
        <is>
          <t>2026-04-17</t>
        </is>
      </c>
      <c r="C45" t="inlineStr">
        <is>
          <t>2026-03-29</t>
        </is>
      </c>
      <c r="D45" t="n">
        <v>8</v>
      </c>
      <c r="E45" t="inlineStr">
        <is>
          <t>SKU_0001</t>
        </is>
      </c>
      <c r="F45" t="inlineStr">
        <is>
          <t>DC5</t>
        </is>
      </c>
      <c r="G45" t="inlineStr">
        <is>
          <t>F1</t>
        </is>
      </c>
      <c r="H45" t="inlineStr">
        <is>
          <t>Miami</t>
        </is>
      </c>
      <c r="I45" t="inlineStr">
        <is>
          <t>Southeast</t>
        </is>
      </c>
      <c r="J45" t="n">
        <v>25.7617</v>
      </c>
      <c r="K45" t="n">
        <v>-80.1918</v>
      </c>
      <c r="L45" t="inlineStr">
        <is>
          <t>DC</t>
        </is>
      </c>
      <c r="M45" t="inlineStr">
        <is>
          <t>Medical Devices &amp; Diagnostics</t>
        </is>
      </c>
      <c r="N45" t="n">
        <v>444</v>
      </c>
      <c r="O45" t="n">
        <v>45</v>
      </c>
      <c r="P45" t="n">
        <v>0</v>
      </c>
      <c r="Q45" t="n">
        <v>45</v>
      </c>
      <c r="R45" t="n">
        <v>0</v>
      </c>
      <c r="S45" t="n">
        <v>0</v>
      </c>
      <c r="T45" t="n">
        <v>0</v>
      </c>
      <c r="U45" t="n">
        <v>0</v>
      </c>
      <c r="V45" t="n">
        <v>399</v>
      </c>
      <c r="W45" t="n">
        <v>62.1</v>
      </c>
      <c r="X45" t="n">
        <v>3</v>
      </c>
      <c r="Y45" t="n">
        <v>28</v>
      </c>
      <c r="Z45" t="n">
        <v>237</v>
      </c>
      <c r="AA45" t="n">
        <v>21</v>
      </c>
      <c r="AB45" t="n">
        <v>178</v>
      </c>
      <c r="AC45" t="n">
        <v>76</v>
      </c>
      <c r="AD45" t="n">
        <v>647</v>
      </c>
      <c r="AE45" t="n">
        <v>237</v>
      </c>
      <c r="AF45" t="n">
        <v>647</v>
      </c>
      <c r="AG45" t="n">
        <v>100</v>
      </c>
      <c r="AH45" t="n">
        <v>0</v>
      </c>
      <c r="AI45" t="n">
        <v>0</v>
      </c>
      <c r="AJ45" t="n">
        <v>0</v>
      </c>
      <c r="AK45" t="inlineStr">
        <is>
          <t>MDS</t>
        </is>
      </c>
      <c r="AL45" t="inlineStr">
        <is>
          <t>None</t>
        </is>
      </c>
      <c r="AM45" t="inlineStr">
        <is>
          <t>None</t>
        </is>
      </c>
      <c r="AN45" t="inlineStr">
        <is>
          <t>Healthy</t>
        </is>
      </c>
      <c r="AO45" t="inlineStr">
        <is>
          <t>C</t>
        </is>
      </c>
      <c r="AP45" t="inlineStr"/>
      <c r="AQ45">
        <f>IF(AM45="P1",100,IF(AM45="P2",67,IF(AM45="P3",33,0)))</f>
        <v/>
      </c>
      <c r="AR45">
        <f>MIN(100,INT(IF(AI45&gt;0,AI45/Z45,AJ45/AD45)*100))</f>
        <v/>
      </c>
      <c r="AS45">
        <f>IF(AI45+AJ45=0,0,INT(100/D45))</f>
        <v/>
      </c>
      <c r="AT45">
        <f>IF(AO45="A",100,IF(AO45="B",67,33))</f>
        <v/>
      </c>
      <c r="AU45">
        <f>ROUND(0.40*AQ45+0.30*AR45+0.20*AS45+0.10*AT45,0)</f>
        <v/>
      </c>
      <c r="AV45" t="inlineStr"/>
    </row>
    <row r="46">
      <c r="A46" t="inlineStr"/>
      <c r="B46" t="inlineStr">
        <is>
          <t>2026-04-17</t>
        </is>
      </c>
      <c r="C46" t="inlineStr">
        <is>
          <t>2026-04-05</t>
        </is>
      </c>
      <c r="D46" t="n">
        <v>9</v>
      </c>
      <c r="E46" t="inlineStr">
        <is>
          <t>SKU_0001</t>
        </is>
      </c>
      <c r="F46" t="inlineStr">
        <is>
          <t>DC5</t>
        </is>
      </c>
      <c r="G46" t="inlineStr">
        <is>
          <t>F1</t>
        </is>
      </c>
      <c r="H46" t="inlineStr">
        <is>
          <t>Miami</t>
        </is>
      </c>
      <c r="I46" t="inlineStr">
        <is>
          <t>Southeast</t>
        </is>
      </c>
      <c r="J46" t="n">
        <v>25.7617</v>
      </c>
      <c r="K46" t="n">
        <v>-80.1918</v>
      </c>
      <c r="L46" t="inlineStr">
        <is>
          <t>DC</t>
        </is>
      </c>
      <c r="M46" t="inlineStr">
        <is>
          <t>Medical Devices &amp; Diagnostics</t>
        </is>
      </c>
      <c r="N46" t="n">
        <v>399</v>
      </c>
      <c r="O46" t="n">
        <v>48</v>
      </c>
      <c r="P46" t="n">
        <v>0</v>
      </c>
      <c r="Q46" t="n">
        <v>48</v>
      </c>
      <c r="R46" t="n">
        <v>88</v>
      </c>
      <c r="S46" t="n">
        <v>0</v>
      </c>
      <c r="T46" t="n">
        <v>88</v>
      </c>
      <c r="U46" t="n">
        <v>0</v>
      </c>
      <c r="V46" t="n">
        <v>439</v>
      </c>
      <c r="W46" t="n">
        <v>64</v>
      </c>
      <c r="X46" t="n">
        <v>3</v>
      </c>
      <c r="Y46" t="n">
        <v>28</v>
      </c>
      <c r="Z46" t="n">
        <v>237</v>
      </c>
      <c r="AA46" t="n">
        <v>21</v>
      </c>
      <c r="AB46" t="n">
        <v>178</v>
      </c>
      <c r="AC46" t="n">
        <v>76</v>
      </c>
      <c r="AD46" t="n">
        <v>647</v>
      </c>
      <c r="AE46" t="n">
        <v>237</v>
      </c>
      <c r="AF46" t="n">
        <v>647</v>
      </c>
      <c r="AG46" t="n">
        <v>100</v>
      </c>
      <c r="AH46" t="n">
        <v>0</v>
      </c>
      <c r="AI46" t="n">
        <v>0</v>
      </c>
      <c r="AJ46" t="n">
        <v>0</v>
      </c>
      <c r="AK46" t="inlineStr">
        <is>
          <t>MDS</t>
        </is>
      </c>
      <c r="AL46" t="inlineStr">
        <is>
          <t>None</t>
        </is>
      </c>
      <c r="AM46" t="inlineStr">
        <is>
          <t>None</t>
        </is>
      </c>
      <c r="AN46" t="inlineStr">
        <is>
          <t>Healthy</t>
        </is>
      </c>
      <c r="AO46" t="inlineStr">
        <is>
          <t>C</t>
        </is>
      </c>
      <c r="AP46" t="inlineStr"/>
      <c r="AQ46">
        <f>IF(AM46="P1",100,IF(AM46="P2",67,IF(AM46="P3",33,0)))</f>
        <v/>
      </c>
      <c r="AR46">
        <f>MIN(100,INT(IF(AI46&gt;0,AI46/Z46,AJ46/AD46)*100))</f>
        <v/>
      </c>
      <c r="AS46">
        <f>IF(AI46+AJ46=0,0,INT(100/D46))</f>
        <v/>
      </c>
      <c r="AT46">
        <f>IF(AO46="A",100,IF(AO46="B",67,33))</f>
        <v/>
      </c>
      <c r="AU46">
        <f>ROUND(0.40*AQ46+0.30*AR46+0.20*AS46+0.10*AT46,0)</f>
        <v/>
      </c>
      <c r="AV46" t="inlineStr"/>
    </row>
    <row r="47">
      <c r="A47" t="inlineStr"/>
      <c r="B47" t="inlineStr">
        <is>
          <t>2026-04-17</t>
        </is>
      </c>
      <c r="C47" t="inlineStr">
        <is>
          <t>2026-04-12</t>
        </is>
      </c>
      <c r="D47" t="n">
        <v>10</v>
      </c>
      <c r="E47" t="inlineStr">
        <is>
          <t>SKU_0001</t>
        </is>
      </c>
      <c r="F47" t="inlineStr">
        <is>
          <t>DC5</t>
        </is>
      </c>
      <c r="G47" t="inlineStr">
        <is>
          <t>F1</t>
        </is>
      </c>
      <c r="H47" t="inlineStr">
        <is>
          <t>Miami</t>
        </is>
      </c>
      <c r="I47" t="inlineStr">
        <is>
          <t>Southeast</t>
        </is>
      </c>
      <c r="J47" t="n">
        <v>25.7617</v>
      </c>
      <c r="K47" t="n">
        <v>-80.1918</v>
      </c>
      <c r="L47" t="inlineStr">
        <is>
          <t>DC</t>
        </is>
      </c>
      <c r="M47" t="inlineStr">
        <is>
          <t>Medical Devices &amp; Diagnostics</t>
        </is>
      </c>
      <c r="N47" t="n">
        <v>439</v>
      </c>
      <c r="O47" t="n">
        <v>60</v>
      </c>
      <c r="P47" t="n">
        <v>0</v>
      </c>
      <c r="Q47" t="n">
        <v>60</v>
      </c>
      <c r="R47" t="n">
        <v>0</v>
      </c>
      <c r="S47" t="n">
        <v>0</v>
      </c>
      <c r="T47" t="n">
        <v>0</v>
      </c>
      <c r="U47" t="n">
        <v>0</v>
      </c>
      <c r="V47" t="n">
        <v>379</v>
      </c>
      <c r="W47" t="n">
        <v>44.2</v>
      </c>
      <c r="X47" t="n">
        <v>3</v>
      </c>
      <c r="Y47" t="n">
        <v>28</v>
      </c>
      <c r="Z47" t="n">
        <v>237</v>
      </c>
      <c r="AA47" t="n">
        <v>21</v>
      </c>
      <c r="AB47" t="n">
        <v>178</v>
      </c>
      <c r="AC47" t="n">
        <v>76</v>
      </c>
      <c r="AD47" t="n">
        <v>647</v>
      </c>
      <c r="AE47" t="n">
        <v>237</v>
      </c>
      <c r="AF47" t="n">
        <v>647</v>
      </c>
      <c r="AG47" t="n">
        <v>100</v>
      </c>
      <c r="AH47" t="n">
        <v>0</v>
      </c>
      <c r="AI47" t="n">
        <v>0</v>
      </c>
      <c r="AJ47" t="n">
        <v>0</v>
      </c>
      <c r="AK47" t="inlineStr">
        <is>
          <t>MDS</t>
        </is>
      </c>
      <c r="AL47" t="inlineStr">
        <is>
          <t>None</t>
        </is>
      </c>
      <c r="AM47" t="inlineStr">
        <is>
          <t>None</t>
        </is>
      </c>
      <c r="AN47" t="inlineStr">
        <is>
          <t>Healthy</t>
        </is>
      </c>
      <c r="AO47" t="inlineStr">
        <is>
          <t>C</t>
        </is>
      </c>
      <c r="AP47" t="inlineStr"/>
      <c r="AQ47">
        <f>IF(AM47="P1",100,IF(AM47="P2",67,IF(AM47="P3",33,0)))</f>
        <v/>
      </c>
      <c r="AR47">
        <f>MIN(100,INT(IF(AI47&gt;0,AI47/Z47,AJ47/AD47)*100))</f>
        <v/>
      </c>
      <c r="AS47">
        <f>IF(AI47+AJ47=0,0,INT(100/D47))</f>
        <v/>
      </c>
      <c r="AT47">
        <f>IF(AO47="A",100,IF(AO47="B",67,33))</f>
        <v/>
      </c>
      <c r="AU47">
        <f>ROUND(0.40*AQ47+0.30*AR47+0.20*AS47+0.10*AT47,0)</f>
        <v/>
      </c>
      <c r="AV47" t="inlineStr"/>
    </row>
    <row r="48">
      <c r="A48" t="inlineStr"/>
      <c r="B48" t="inlineStr">
        <is>
          <t>2026-04-17</t>
        </is>
      </c>
      <c r="C48" t="inlineStr">
        <is>
          <t>2026-04-19</t>
        </is>
      </c>
      <c r="D48" t="n">
        <v>11</v>
      </c>
      <c r="E48" t="inlineStr">
        <is>
          <t>SKU_0001</t>
        </is>
      </c>
      <c r="F48" t="inlineStr">
        <is>
          <t>DC5</t>
        </is>
      </c>
      <c r="G48" t="inlineStr">
        <is>
          <t>F1</t>
        </is>
      </c>
      <c r="H48" t="inlineStr">
        <is>
          <t>Miami</t>
        </is>
      </c>
      <c r="I48" t="inlineStr">
        <is>
          <t>Southeast</t>
        </is>
      </c>
      <c r="J48" t="n">
        <v>25.7617</v>
      </c>
      <c r="K48" t="n">
        <v>-80.1918</v>
      </c>
      <c r="L48" t="inlineStr">
        <is>
          <t>DC</t>
        </is>
      </c>
      <c r="M48" t="inlineStr">
        <is>
          <t>Medical Devices &amp; Diagnostics</t>
        </is>
      </c>
      <c r="N48" t="n">
        <v>379</v>
      </c>
      <c r="O48" t="n">
        <v>62</v>
      </c>
      <c r="P48" t="n">
        <v>0</v>
      </c>
      <c r="Q48" t="n">
        <v>62</v>
      </c>
      <c r="R48" t="n">
        <v>0</v>
      </c>
      <c r="S48" t="n">
        <v>0</v>
      </c>
      <c r="T48" t="n">
        <v>0</v>
      </c>
      <c r="U48" t="n">
        <v>0</v>
      </c>
      <c r="V48" t="n">
        <v>317</v>
      </c>
      <c r="W48" t="n">
        <v>35.8</v>
      </c>
      <c r="X48" t="n">
        <v>3</v>
      </c>
      <c r="Y48" t="n">
        <v>28</v>
      </c>
      <c r="Z48" t="n">
        <v>237</v>
      </c>
      <c r="AA48" t="n">
        <v>21</v>
      </c>
      <c r="AB48" t="n">
        <v>178</v>
      </c>
      <c r="AC48" t="n">
        <v>76</v>
      </c>
      <c r="AD48" t="n">
        <v>647</v>
      </c>
      <c r="AE48" t="n">
        <v>237</v>
      </c>
      <c r="AF48" t="n">
        <v>647</v>
      </c>
      <c r="AG48" t="n">
        <v>100</v>
      </c>
      <c r="AH48" t="n">
        <v>0</v>
      </c>
      <c r="AI48" t="n">
        <v>0</v>
      </c>
      <c r="AJ48" t="n">
        <v>0</v>
      </c>
      <c r="AK48" t="inlineStr">
        <is>
          <t>MDS</t>
        </is>
      </c>
      <c r="AL48" t="inlineStr">
        <is>
          <t>None</t>
        </is>
      </c>
      <c r="AM48" t="inlineStr">
        <is>
          <t>None</t>
        </is>
      </c>
      <c r="AN48" t="inlineStr">
        <is>
          <t>Healthy</t>
        </is>
      </c>
      <c r="AO48" t="inlineStr">
        <is>
          <t>C</t>
        </is>
      </c>
      <c r="AP48" t="inlineStr"/>
      <c r="AQ48">
        <f>IF(AM48="P1",100,IF(AM48="P2",67,IF(AM48="P3",33,0)))</f>
        <v/>
      </c>
      <c r="AR48">
        <f>MIN(100,INT(IF(AI48&gt;0,AI48/Z48,AJ48/AD48)*100))</f>
        <v/>
      </c>
      <c r="AS48">
        <f>IF(AI48+AJ48=0,0,INT(100/D48))</f>
        <v/>
      </c>
      <c r="AT48">
        <f>IF(AO48="A",100,IF(AO48="B",67,33))</f>
        <v/>
      </c>
      <c r="AU48">
        <f>ROUND(0.40*AQ48+0.30*AR48+0.20*AS48+0.10*AT48,0)</f>
        <v/>
      </c>
      <c r="AV48" t="inlineStr"/>
    </row>
    <row r="49">
      <c r="A49" t="inlineStr"/>
      <c r="B49" t="inlineStr">
        <is>
          <t>2026-04-17</t>
        </is>
      </c>
      <c r="C49" t="inlineStr">
        <is>
          <t>2026-04-26</t>
        </is>
      </c>
      <c r="D49" t="n">
        <v>12</v>
      </c>
      <c r="E49" t="inlineStr">
        <is>
          <t>SKU_0001</t>
        </is>
      </c>
      <c r="F49" t="inlineStr">
        <is>
          <t>DC5</t>
        </is>
      </c>
      <c r="G49" t="inlineStr">
        <is>
          <t>F1</t>
        </is>
      </c>
      <c r="H49" t="inlineStr">
        <is>
          <t>Miami</t>
        </is>
      </c>
      <c r="I49" t="inlineStr">
        <is>
          <t>Southeast</t>
        </is>
      </c>
      <c r="J49" t="n">
        <v>25.7617</v>
      </c>
      <c r="K49" t="n">
        <v>-80.1918</v>
      </c>
      <c r="L49" t="inlineStr">
        <is>
          <t>DC</t>
        </is>
      </c>
      <c r="M49" t="inlineStr">
        <is>
          <t>Medical Devices &amp; Diagnostics</t>
        </is>
      </c>
      <c r="N49" t="n">
        <v>317</v>
      </c>
      <c r="O49" t="n">
        <v>69</v>
      </c>
      <c r="P49" t="n">
        <v>0</v>
      </c>
      <c r="Q49" t="n">
        <v>69</v>
      </c>
      <c r="R49" t="n">
        <v>0</v>
      </c>
      <c r="S49" t="n">
        <v>0</v>
      </c>
      <c r="T49" t="n">
        <v>0</v>
      </c>
      <c r="U49" t="n">
        <v>0</v>
      </c>
      <c r="V49" t="n">
        <v>248</v>
      </c>
      <c r="W49" t="n">
        <v>25.2</v>
      </c>
      <c r="X49" t="n">
        <v>3</v>
      </c>
      <c r="Y49" t="n">
        <v>28</v>
      </c>
      <c r="Z49" t="n">
        <v>237</v>
      </c>
      <c r="AA49" t="n">
        <v>21</v>
      </c>
      <c r="AB49" t="n">
        <v>178</v>
      </c>
      <c r="AC49" t="n">
        <v>76</v>
      </c>
      <c r="AD49" t="n">
        <v>647</v>
      </c>
      <c r="AE49" t="n">
        <v>237</v>
      </c>
      <c r="AF49" t="n">
        <v>647</v>
      </c>
      <c r="AG49" t="n">
        <v>100</v>
      </c>
      <c r="AH49" t="n">
        <v>0</v>
      </c>
      <c r="AI49" t="n">
        <v>0</v>
      </c>
      <c r="AJ49" t="n">
        <v>0</v>
      </c>
      <c r="AK49" t="inlineStr">
        <is>
          <t>MDS</t>
        </is>
      </c>
      <c r="AL49" t="inlineStr">
        <is>
          <t>None</t>
        </is>
      </c>
      <c r="AM49" t="inlineStr">
        <is>
          <t>None</t>
        </is>
      </c>
      <c r="AN49" t="inlineStr">
        <is>
          <t>Healthy</t>
        </is>
      </c>
      <c r="AO49" t="inlineStr">
        <is>
          <t>C</t>
        </is>
      </c>
      <c r="AP49" t="inlineStr"/>
      <c r="AQ49">
        <f>IF(AM49="P1",100,IF(AM49="P2",67,IF(AM49="P3",33,0)))</f>
        <v/>
      </c>
      <c r="AR49">
        <f>MIN(100,INT(IF(AI49&gt;0,AI49/Z49,AJ49/AD49)*100))</f>
        <v/>
      </c>
      <c r="AS49">
        <f>IF(AI49+AJ49=0,0,INT(100/D49))</f>
        <v/>
      </c>
      <c r="AT49">
        <f>IF(AO49="A",100,IF(AO49="B",67,33))</f>
        <v/>
      </c>
      <c r="AU49">
        <f>ROUND(0.40*AQ49+0.30*AR49+0.20*AS49+0.10*AT49,0)</f>
        <v/>
      </c>
      <c r="AV49" t="inlineStr"/>
    </row>
    <row r="50">
      <c r="A50" t="inlineStr"/>
      <c r="B50" t="inlineStr">
        <is>
          <t>2026-04-17</t>
        </is>
      </c>
      <c r="C50" t="inlineStr">
        <is>
          <t>2026-02-08</t>
        </is>
      </c>
      <c r="D50" t="n">
        <v>1</v>
      </c>
      <c r="E50" t="inlineStr">
        <is>
          <t>SKU_0001</t>
        </is>
      </c>
      <c r="F50" t="inlineStr">
        <is>
          <t>F1</t>
        </is>
      </c>
      <c r="G50" t="inlineStr">
        <is>
          <t>F1</t>
        </is>
      </c>
      <c r="H50" t="inlineStr">
        <is>
          <t>Detroit</t>
        </is>
      </c>
      <c r="I50" t="inlineStr">
        <is>
          <t>Midwest</t>
        </is>
      </c>
      <c r="J50" t="n">
        <v>42.3314</v>
      </c>
      <c r="K50" t="n">
        <v>-83.0458</v>
      </c>
      <c r="L50" t="inlineStr">
        <is>
          <t>Factory</t>
        </is>
      </c>
      <c r="M50" t="inlineStr">
        <is>
          <t>Medical Devices &amp; Diagnostics</t>
        </is>
      </c>
      <c r="N50" t="n">
        <v>1481</v>
      </c>
      <c r="O50" t="n">
        <v>504</v>
      </c>
      <c r="P50" t="n">
        <v>0</v>
      </c>
      <c r="Q50" t="n">
        <v>504</v>
      </c>
      <c r="R50" t="n">
        <v>0</v>
      </c>
      <c r="S50" t="n">
        <v>889</v>
      </c>
      <c r="T50" t="n">
        <v>889</v>
      </c>
      <c r="U50" t="n">
        <v>0</v>
      </c>
      <c r="V50" t="n">
        <v>1866</v>
      </c>
      <c r="W50" t="n">
        <v>25.9</v>
      </c>
      <c r="X50" t="n">
        <v>4</v>
      </c>
      <c r="Y50" t="n">
        <v>28</v>
      </c>
      <c r="Z50" t="n">
        <v>1187</v>
      </c>
      <c r="AA50" t="n">
        <v>28</v>
      </c>
      <c r="AB50" t="n">
        <v>1187</v>
      </c>
      <c r="AC50" t="n">
        <v>65</v>
      </c>
      <c r="AD50" t="n">
        <v>2743</v>
      </c>
      <c r="AE50" t="n">
        <v>1187</v>
      </c>
      <c r="AF50" t="n">
        <v>2743</v>
      </c>
      <c r="AG50" t="n">
        <v>100</v>
      </c>
      <c r="AH50" t="n">
        <v>0</v>
      </c>
      <c r="AI50" t="n">
        <v>0</v>
      </c>
      <c r="AJ50" t="n">
        <v>0</v>
      </c>
      <c r="AK50" t="inlineStr">
        <is>
          <t>MDS</t>
        </is>
      </c>
      <c r="AL50" t="inlineStr">
        <is>
          <t>None</t>
        </is>
      </c>
      <c r="AM50" t="inlineStr">
        <is>
          <t>None</t>
        </is>
      </c>
      <c r="AN50" t="inlineStr">
        <is>
          <t>Healthy</t>
        </is>
      </c>
      <c r="AO50" t="inlineStr">
        <is>
          <t>C</t>
        </is>
      </c>
      <c r="AP50" t="inlineStr"/>
      <c r="AQ50">
        <f>IF(AM50="P1",100,IF(AM50="P2",67,IF(AM50="P3",33,0)))</f>
        <v/>
      </c>
      <c r="AR50">
        <f>MIN(100,INT(IF(AI50&gt;0,AI50/Z50,AJ50/AD50)*100))</f>
        <v/>
      </c>
      <c r="AS50">
        <f>IF(AI50+AJ50=0,0,INT(100/D50))</f>
        <v/>
      </c>
      <c r="AT50">
        <f>IF(AO50="A",100,IF(AO50="B",67,33))</f>
        <v/>
      </c>
      <c r="AU50">
        <f>ROUND(0.40*AQ50+0.30*AR50+0.20*AS50+0.10*AT50,0)</f>
        <v/>
      </c>
      <c r="AV50" t="inlineStr"/>
    </row>
    <row r="51">
      <c r="A51" t="inlineStr"/>
      <c r="B51" t="inlineStr">
        <is>
          <t>2026-04-17</t>
        </is>
      </c>
      <c r="C51" t="inlineStr">
        <is>
          <t>2026-02-15</t>
        </is>
      </c>
      <c r="D51" t="n">
        <v>2</v>
      </c>
      <c r="E51" t="inlineStr">
        <is>
          <t>SKU_0001</t>
        </is>
      </c>
      <c r="F51" t="inlineStr">
        <is>
          <t>F1</t>
        </is>
      </c>
      <c r="G51" t="inlineStr">
        <is>
          <t>F1</t>
        </is>
      </c>
      <c r="H51" t="inlineStr">
        <is>
          <t>Detroit</t>
        </is>
      </c>
      <c r="I51" t="inlineStr">
        <is>
          <t>Midwest</t>
        </is>
      </c>
      <c r="J51" t="n">
        <v>42.3314</v>
      </c>
      <c r="K51" t="n">
        <v>-83.0458</v>
      </c>
      <c r="L51" t="inlineStr">
        <is>
          <t>Factory</t>
        </is>
      </c>
      <c r="M51" t="inlineStr">
        <is>
          <t>Medical Devices &amp; Diagnostics</t>
        </is>
      </c>
      <c r="N51" t="n">
        <v>1866</v>
      </c>
      <c r="O51" t="n">
        <v>357</v>
      </c>
      <c r="P51" t="n">
        <v>0</v>
      </c>
      <c r="Q51" t="n">
        <v>357</v>
      </c>
      <c r="R51" t="n">
        <v>0</v>
      </c>
      <c r="S51" t="n">
        <v>0</v>
      </c>
      <c r="T51" t="n">
        <v>0</v>
      </c>
      <c r="U51" t="n">
        <v>0</v>
      </c>
      <c r="V51" t="n">
        <v>1509</v>
      </c>
      <c r="W51" t="n">
        <v>29.6</v>
      </c>
      <c r="X51" t="n">
        <v>4</v>
      </c>
      <c r="Y51" t="n">
        <v>28</v>
      </c>
      <c r="Z51" t="n">
        <v>1187</v>
      </c>
      <c r="AA51" t="n">
        <v>28</v>
      </c>
      <c r="AB51" t="n">
        <v>1187</v>
      </c>
      <c r="AC51" t="n">
        <v>65</v>
      </c>
      <c r="AD51" t="n">
        <v>2743</v>
      </c>
      <c r="AE51" t="n">
        <v>1187</v>
      </c>
      <c r="AF51" t="n">
        <v>2743</v>
      </c>
      <c r="AG51" t="n">
        <v>100</v>
      </c>
      <c r="AH51" t="n">
        <v>0</v>
      </c>
      <c r="AI51" t="n">
        <v>0</v>
      </c>
      <c r="AJ51" t="n">
        <v>0</v>
      </c>
      <c r="AK51" t="inlineStr">
        <is>
          <t>MDS</t>
        </is>
      </c>
      <c r="AL51" t="inlineStr">
        <is>
          <t>None</t>
        </is>
      </c>
      <c r="AM51" t="inlineStr">
        <is>
          <t>None</t>
        </is>
      </c>
      <c r="AN51" t="inlineStr">
        <is>
          <t>Healthy</t>
        </is>
      </c>
      <c r="AO51" t="inlineStr">
        <is>
          <t>C</t>
        </is>
      </c>
      <c r="AP51" t="inlineStr"/>
      <c r="AQ51">
        <f>IF(AM51="P1",100,IF(AM51="P2",67,IF(AM51="P3",33,0)))</f>
        <v/>
      </c>
      <c r="AR51">
        <f>MIN(100,INT(IF(AI51&gt;0,AI51/Z51,AJ51/AD51)*100))</f>
        <v/>
      </c>
      <c r="AS51">
        <f>IF(AI51+AJ51=0,0,INT(100/D51))</f>
        <v/>
      </c>
      <c r="AT51">
        <f>IF(AO51="A",100,IF(AO51="B",67,33))</f>
        <v/>
      </c>
      <c r="AU51">
        <f>ROUND(0.40*AQ51+0.30*AR51+0.20*AS51+0.10*AT51,0)</f>
        <v/>
      </c>
      <c r="AV51" t="inlineStr"/>
    </row>
    <row r="52">
      <c r="A52" t="inlineStr"/>
      <c r="B52" t="inlineStr">
        <is>
          <t>2026-04-17</t>
        </is>
      </c>
      <c r="C52" t="inlineStr">
        <is>
          <t>2026-02-22</t>
        </is>
      </c>
      <c r="D52" t="n">
        <v>3</v>
      </c>
      <c r="E52" t="inlineStr">
        <is>
          <t>SKU_0001</t>
        </is>
      </c>
      <c r="F52" t="inlineStr">
        <is>
          <t>F1</t>
        </is>
      </c>
      <c r="G52" t="inlineStr">
        <is>
          <t>F1</t>
        </is>
      </c>
      <c r="H52" t="inlineStr">
        <is>
          <t>Detroit</t>
        </is>
      </c>
      <c r="I52" t="inlineStr">
        <is>
          <t>Midwest</t>
        </is>
      </c>
      <c r="J52" t="n">
        <v>42.3314</v>
      </c>
      <c r="K52" t="n">
        <v>-83.0458</v>
      </c>
      <c r="L52" t="inlineStr">
        <is>
          <t>Factory</t>
        </is>
      </c>
      <c r="M52" t="inlineStr">
        <is>
          <t>Medical Devices &amp; Diagnostics</t>
        </is>
      </c>
      <c r="N52" t="n">
        <v>1509</v>
      </c>
      <c r="O52" t="n">
        <v>559</v>
      </c>
      <c r="P52" t="n">
        <v>0</v>
      </c>
      <c r="Q52" t="n">
        <v>559</v>
      </c>
      <c r="R52" t="n">
        <v>0</v>
      </c>
      <c r="S52" t="n">
        <v>1183</v>
      </c>
      <c r="T52" t="n">
        <v>1183</v>
      </c>
      <c r="U52" t="n">
        <v>0</v>
      </c>
      <c r="V52" t="n">
        <v>2133</v>
      </c>
      <c r="W52" t="n">
        <v>26.7</v>
      </c>
      <c r="X52" t="n">
        <v>4</v>
      </c>
      <c r="Y52" t="n">
        <v>28</v>
      </c>
      <c r="Z52" t="n">
        <v>1187</v>
      </c>
      <c r="AA52" t="n">
        <v>28</v>
      </c>
      <c r="AB52" t="n">
        <v>1187</v>
      </c>
      <c r="AC52" t="n">
        <v>65</v>
      </c>
      <c r="AD52" t="n">
        <v>2743</v>
      </c>
      <c r="AE52" t="n">
        <v>1187</v>
      </c>
      <c r="AF52" t="n">
        <v>2743</v>
      </c>
      <c r="AG52" t="n">
        <v>100</v>
      </c>
      <c r="AH52" t="n">
        <v>0</v>
      </c>
      <c r="AI52" t="n">
        <v>0</v>
      </c>
      <c r="AJ52" t="n">
        <v>0</v>
      </c>
      <c r="AK52" t="inlineStr">
        <is>
          <t>MDS</t>
        </is>
      </c>
      <c r="AL52" t="inlineStr">
        <is>
          <t>None</t>
        </is>
      </c>
      <c r="AM52" t="inlineStr">
        <is>
          <t>None</t>
        </is>
      </c>
      <c r="AN52" t="inlineStr">
        <is>
          <t>Healthy</t>
        </is>
      </c>
      <c r="AO52" t="inlineStr">
        <is>
          <t>C</t>
        </is>
      </c>
      <c r="AP52" t="inlineStr"/>
      <c r="AQ52">
        <f>IF(AM52="P1",100,IF(AM52="P2",67,IF(AM52="P3",33,0)))</f>
        <v/>
      </c>
      <c r="AR52">
        <f>MIN(100,INT(IF(AI52&gt;0,AI52/Z52,AJ52/AD52)*100))</f>
        <v/>
      </c>
      <c r="AS52">
        <f>IF(AI52+AJ52=0,0,INT(100/D52))</f>
        <v/>
      </c>
      <c r="AT52">
        <f>IF(AO52="A",100,IF(AO52="B",67,33))</f>
        <v/>
      </c>
      <c r="AU52">
        <f>ROUND(0.40*AQ52+0.30*AR52+0.20*AS52+0.10*AT52,0)</f>
        <v/>
      </c>
      <c r="AV52" t="inlineStr"/>
    </row>
    <row r="53">
      <c r="A53" t="inlineStr">
        <is>
          <t>BD-24536581-00031</t>
        </is>
      </c>
      <c r="B53" t="inlineStr">
        <is>
          <t>2026-04-17</t>
        </is>
      </c>
      <c r="C53" t="inlineStr">
        <is>
          <t>2026-03-01</t>
        </is>
      </c>
      <c r="D53" t="n">
        <v>4</v>
      </c>
      <c r="E53" t="inlineStr">
        <is>
          <t>SKU_0001</t>
        </is>
      </c>
      <c r="F53" t="inlineStr">
        <is>
          <t>F1</t>
        </is>
      </c>
      <c r="G53" t="inlineStr">
        <is>
          <t>F1</t>
        </is>
      </c>
      <c r="H53" t="inlineStr">
        <is>
          <t>Detroit</t>
        </is>
      </c>
      <c r="I53" t="inlineStr">
        <is>
          <t>Midwest</t>
        </is>
      </c>
      <c r="J53" t="n">
        <v>42.3314</v>
      </c>
      <c r="K53" t="n">
        <v>-83.0458</v>
      </c>
      <c r="L53" t="inlineStr">
        <is>
          <t>Factory</t>
        </is>
      </c>
      <c r="M53" t="inlineStr">
        <is>
          <t>Medical Devices &amp; Diagnostics</t>
        </is>
      </c>
      <c r="N53" t="n">
        <v>2133</v>
      </c>
      <c r="O53" t="n">
        <v>443</v>
      </c>
      <c r="P53" t="n">
        <v>0</v>
      </c>
      <c r="Q53" t="n">
        <v>443</v>
      </c>
      <c r="R53" t="n">
        <v>0</v>
      </c>
      <c r="S53" t="n">
        <v>2112</v>
      </c>
      <c r="T53" t="n">
        <v>2112</v>
      </c>
      <c r="U53" t="n">
        <v>0</v>
      </c>
      <c r="V53" t="n">
        <v>3802</v>
      </c>
      <c r="W53" t="n">
        <v>60.1</v>
      </c>
      <c r="X53" t="n">
        <v>4</v>
      </c>
      <c r="Y53" t="n">
        <v>28</v>
      </c>
      <c r="Z53" t="n">
        <v>1187</v>
      </c>
      <c r="AA53" t="n">
        <v>28</v>
      </c>
      <c r="AB53" t="n">
        <v>1187</v>
      </c>
      <c r="AC53" t="n">
        <v>65</v>
      </c>
      <c r="AD53" t="n">
        <v>2743</v>
      </c>
      <c r="AE53" t="n">
        <v>1187</v>
      </c>
      <c r="AF53" t="n">
        <v>2743</v>
      </c>
      <c r="AG53" t="n">
        <v>100</v>
      </c>
      <c r="AH53" t="n">
        <v>38</v>
      </c>
      <c r="AI53" t="n">
        <v>0</v>
      </c>
      <c r="AJ53" t="n">
        <v>1059</v>
      </c>
      <c r="AK53" t="inlineStr">
        <is>
          <t>MDS</t>
        </is>
      </c>
      <c r="AL53" t="inlineStr">
        <is>
          <t>High ESTN</t>
        </is>
      </c>
      <c r="AM53" t="inlineStr">
        <is>
          <t>P2</t>
        </is>
      </c>
      <c r="AN53" t="inlineStr">
        <is>
          <t>At-Risk Excess</t>
        </is>
      </c>
      <c r="AO53" t="inlineStr">
        <is>
          <t>C</t>
        </is>
      </c>
      <c r="AP53" t="inlineStr"/>
      <c r="AQ53">
        <f>IF(AM53="P1",100,IF(AM53="P2",67,IF(AM53="P3",33,0)))</f>
        <v/>
      </c>
      <c r="AR53">
        <f>MIN(100,INT(IF(AI53&gt;0,AI53/Z53,AJ53/AD53)*100))</f>
        <v/>
      </c>
      <c r="AS53">
        <f>IF(AI53+AJ53=0,0,INT(100/D53))</f>
        <v/>
      </c>
      <c r="AT53">
        <f>IF(AO53="A",100,IF(AO53="B",67,33))</f>
        <v/>
      </c>
      <c r="AU53">
        <f>ROUND(0.40*AQ53+0.30*AR53+0.20*AS53+0.10*AT53,0)</f>
        <v/>
      </c>
      <c r="AV53" t="inlineStr">
        <is>
          <t>Opening inventory of 2133 and supply of 2112 exceed the demand of 443, resulting in a projected surplus of 3802. This inventory levels violates the maximum stock threshold of 2743 units by 1059 units, increasing holding risk.</t>
        </is>
      </c>
    </row>
    <row r="54">
      <c r="A54" t="inlineStr">
        <is>
          <t>BD-24536581-00032</t>
        </is>
      </c>
      <c r="B54" t="inlineStr">
        <is>
          <t>2026-04-17</t>
        </is>
      </c>
      <c r="C54" t="inlineStr">
        <is>
          <t>2026-03-08</t>
        </is>
      </c>
      <c r="D54" t="n">
        <v>5</v>
      </c>
      <c r="E54" t="inlineStr">
        <is>
          <t>SKU_0001</t>
        </is>
      </c>
      <c r="F54" t="inlineStr">
        <is>
          <t>F1</t>
        </is>
      </c>
      <c r="G54" t="inlineStr">
        <is>
          <t>F1</t>
        </is>
      </c>
      <c r="H54" t="inlineStr">
        <is>
          <t>Detroit</t>
        </is>
      </c>
      <c r="I54" t="inlineStr">
        <is>
          <t>Midwest</t>
        </is>
      </c>
      <c r="J54" t="n">
        <v>42.3314</v>
      </c>
      <c r="K54" t="n">
        <v>-83.0458</v>
      </c>
      <c r="L54" t="inlineStr">
        <is>
          <t>Factory</t>
        </is>
      </c>
      <c r="M54" t="inlineStr">
        <is>
          <t>Medical Devices &amp; Diagnostics</t>
        </is>
      </c>
      <c r="N54" t="n">
        <v>3802</v>
      </c>
      <c r="O54" t="n">
        <v>152</v>
      </c>
      <c r="P54" t="n">
        <v>0</v>
      </c>
      <c r="Q54" t="n">
        <v>152</v>
      </c>
      <c r="R54" t="n">
        <v>0</v>
      </c>
      <c r="S54" t="n">
        <v>0</v>
      </c>
      <c r="T54" t="n">
        <v>0</v>
      </c>
      <c r="U54" t="n">
        <v>0</v>
      </c>
      <c r="V54" t="n">
        <v>3650</v>
      </c>
      <c r="W54" t="n">
        <v>168.1</v>
      </c>
      <c r="X54" t="n">
        <v>4</v>
      </c>
      <c r="Y54" t="n">
        <v>28</v>
      </c>
      <c r="Z54" t="n">
        <v>1187</v>
      </c>
      <c r="AA54" t="n">
        <v>28</v>
      </c>
      <c r="AB54" t="n">
        <v>1187</v>
      </c>
      <c r="AC54" t="n">
        <v>65</v>
      </c>
      <c r="AD54" t="n">
        <v>2743</v>
      </c>
      <c r="AE54" t="n">
        <v>1187</v>
      </c>
      <c r="AF54" t="n">
        <v>2743</v>
      </c>
      <c r="AG54" t="n">
        <v>100</v>
      </c>
      <c r="AH54" t="n">
        <v>33</v>
      </c>
      <c r="AI54" t="n">
        <v>0</v>
      </c>
      <c r="AJ54" t="n">
        <v>907</v>
      </c>
      <c r="AK54" t="inlineStr">
        <is>
          <t>MDS</t>
        </is>
      </c>
      <c r="AL54" t="inlineStr">
        <is>
          <t>High ESTN</t>
        </is>
      </c>
      <c r="AM54" t="inlineStr">
        <is>
          <t>P2</t>
        </is>
      </c>
      <c r="AN54" t="inlineStr">
        <is>
          <t>At-Risk Excess</t>
        </is>
      </c>
      <c r="AO54" t="inlineStr">
        <is>
          <t>C</t>
        </is>
      </c>
      <c r="AP54" t="inlineStr"/>
      <c r="AQ54">
        <f>IF(AM54="P1",100,IF(AM54="P2",67,IF(AM54="P3",33,0)))</f>
        <v/>
      </c>
      <c r="AR54">
        <f>MIN(100,INT(IF(AI54&gt;0,AI54/Z54,AJ54/AD54)*100))</f>
        <v/>
      </c>
      <c r="AS54">
        <f>IF(AI54+AJ54=0,0,INT(100/D54))</f>
        <v/>
      </c>
      <c r="AT54">
        <f>IF(AO54="A",100,IF(AO54="B",67,33))</f>
        <v/>
      </c>
      <c r="AU54">
        <f>ROUND(0.40*AQ54+0.30*AR54+0.20*AS54+0.10*AT54,0)</f>
        <v/>
      </c>
      <c r="AV54" t="inlineStr">
        <is>
          <t>Opening inventory of 3802 and supply of 0 exceed the demand of 152, resulting in a projected surplus of 3650. This inventory levels violates the maximum stock threshold of 2743 units by 907 units, increasing holding risk.</t>
        </is>
      </c>
    </row>
    <row r="55">
      <c r="A55" t="inlineStr">
        <is>
          <t>BD-24536581-00033</t>
        </is>
      </c>
      <c r="B55" t="inlineStr">
        <is>
          <t>2026-04-17</t>
        </is>
      </c>
      <c r="C55" t="inlineStr">
        <is>
          <t>2026-03-15</t>
        </is>
      </c>
      <c r="D55" t="n">
        <v>6</v>
      </c>
      <c r="E55" t="inlineStr">
        <is>
          <t>SKU_0001</t>
        </is>
      </c>
      <c r="F55" t="inlineStr">
        <is>
          <t>F1</t>
        </is>
      </c>
      <c r="G55" t="inlineStr">
        <is>
          <t>F1</t>
        </is>
      </c>
      <c r="H55" t="inlineStr">
        <is>
          <t>Detroit</t>
        </is>
      </c>
      <c r="I55" t="inlineStr">
        <is>
          <t>Midwest</t>
        </is>
      </c>
      <c r="J55" t="n">
        <v>42.3314</v>
      </c>
      <c r="K55" t="n">
        <v>-83.0458</v>
      </c>
      <c r="L55" t="inlineStr">
        <is>
          <t>Factory</t>
        </is>
      </c>
      <c r="M55" t="inlineStr">
        <is>
          <t>Medical Devices &amp; Diagnostics</t>
        </is>
      </c>
      <c r="N55" t="n">
        <v>3650</v>
      </c>
      <c r="O55" t="n">
        <v>705</v>
      </c>
      <c r="P55" t="n">
        <v>0</v>
      </c>
      <c r="Q55" t="n">
        <v>705</v>
      </c>
      <c r="R55" t="n">
        <v>0</v>
      </c>
      <c r="S55" t="n">
        <v>0</v>
      </c>
      <c r="T55" t="n">
        <v>0</v>
      </c>
      <c r="U55" t="n">
        <v>0</v>
      </c>
      <c r="V55" t="n">
        <v>2945</v>
      </c>
      <c r="W55" t="n">
        <v>29.2</v>
      </c>
      <c r="X55" t="n">
        <v>4</v>
      </c>
      <c r="Y55" t="n">
        <v>28</v>
      </c>
      <c r="Z55" t="n">
        <v>1187</v>
      </c>
      <c r="AA55" t="n">
        <v>28</v>
      </c>
      <c r="AB55" t="n">
        <v>1187</v>
      </c>
      <c r="AC55" t="n">
        <v>65</v>
      </c>
      <c r="AD55" t="n">
        <v>2743</v>
      </c>
      <c r="AE55" t="n">
        <v>1187</v>
      </c>
      <c r="AF55" t="n">
        <v>2743</v>
      </c>
      <c r="AG55" t="n">
        <v>100</v>
      </c>
      <c r="AH55" t="n">
        <v>7</v>
      </c>
      <c r="AI55" t="n">
        <v>0</v>
      </c>
      <c r="AJ55" t="n">
        <v>202</v>
      </c>
      <c r="AK55" t="inlineStr">
        <is>
          <t>MDS</t>
        </is>
      </c>
      <c r="AL55" t="inlineStr">
        <is>
          <t>Low ESTN</t>
        </is>
      </c>
      <c r="AM55" t="inlineStr">
        <is>
          <t>P3</t>
        </is>
      </c>
      <c r="AN55" t="inlineStr">
        <is>
          <t>Potential Excess</t>
        </is>
      </c>
      <c r="AO55" t="inlineStr">
        <is>
          <t>C</t>
        </is>
      </c>
      <c r="AP55" t="inlineStr"/>
      <c r="AQ55">
        <f>IF(AM55="P1",100,IF(AM55="P2",67,IF(AM55="P3",33,0)))</f>
        <v/>
      </c>
      <c r="AR55">
        <f>MIN(100,INT(IF(AI55&gt;0,AI55/Z55,AJ55/AD55)*100))</f>
        <v/>
      </c>
      <c r="AS55">
        <f>IF(AI55+AJ55=0,0,INT(100/D55))</f>
        <v/>
      </c>
      <c r="AT55">
        <f>IF(AO55="A",100,IF(AO55="B",67,33))</f>
        <v/>
      </c>
      <c r="AU55">
        <f>ROUND(0.40*AQ55+0.30*AR55+0.20*AS55+0.10*AT55,0)</f>
        <v/>
      </c>
      <c r="AV55" t="inlineStr">
        <is>
          <t>Opening inventory of 3650 and supply of 0 exceed the demand of 705, resulting in a projected surplus of 2945. This inventory levels violates the maximum stock threshold of 2743 units by 202 units, increasing holding risk.</t>
        </is>
      </c>
    </row>
    <row r="56">
      <c r="A56" t="inlineStr"/>
      <c r="B56" t="inlineStr">
        <is>
          <t>2026-04-17</t>
        </is>
      </c>
      <c r="C56" t="inlineStr">
        <is>
          <t>2026-03-22</t>
        </is>
      </c>
      <c r="D56" t="n">
        <v>7</v>
      </c>
      <c r="E56" t="inlineStr">
        <is>
          <t>SKU_0001</t>
        </is>
      </c>
      <c r="F56" t="inlineStr">
        <is>
          <t>F1</t>
        </is>
      </c>
      <c r="G56" t="inlineStr">
        <is>
          <t>F1</t>
        </is>
      </c>
      <c r="H56" t="inlineStr">
        <is>
          <t>Detroit</t>
        </is>
      </c>
      <c r="I56" t="inlineStr">
        <is>
          <t>Midwest</t>
        </is>
      </c>
      <c r="J56" t="n">
        <v>42.3314</v>
      </c>
      <c r="K56" t="n">
        <v>-83.0458</v>
      </c>
      <c r="L56" t="inlineStr">
        <is>
          <t>Factory</t>
        </is>
      </c>
      <c r="M56" t="inlineStr">
        <is>
          <t>Medical Devices &amp; Diagnostics</t>
        </is>
      </c>
      <c r="N56" t="n">
        <v>2945</v>
      </c>
      <c r="O56" t="n">
        <v>205</v>
      </c>
      <c r="P56" t="n">
        <v>0</v>
      </c>
      <c r="Q56" t="n">
        <v>205</v>
      </c>
      <c r="R56" t="n">
        <v>0</v>
      </c>
      <c r="S56" t="n">
        <v>0</v>
      </c>
      <c r="T56" t="n">
        <v>0</v>
      </c>
      <c r="U56" t="n">
        <v>0</v>
      </c>
      <c r="V56" t="n">
        <v>2740</v>
      </c>
      <c r="W56" t="n">
        <v>93.59999999999999</v>
      </c>
      <c r="X56" t="n">
        <v>4</v>
      </c>
      <c r="Y56" t="n">
        <v>28</v>
      </c>
      <c r="Z56" t="n">
        <v>1187</v>
      </c>
      <c r="AA56" t="n">
        <v>28</v>
      </c>
      <c r="AB56" t="n">
        <v>1187</v>
      </c>
      <c r="AC56" t="n">
        <v>65</v>
      </c>
      <c r="AD56" t="n">
        <v>2743</v>
      </c>
      <c r="AE56" t="n">
        <v>1187</v>
      </c>
      <c r="AF56" t="n">
        <v>2743</v>
      </c>
      <c r="AG56" t="n">
        <v>100</v>
      </c>
      <c r="AH56" t="n">
        <v>0</v>
      </c>
      <c r="AI56" t="n">
        <v>0</v>
      </c>
      <c r="AJ56" t="n">
        <v>0</v>
      </c>
      <c r="AK56" t="inlineStr">
        <is>
          <t>MDS</t>
        </is>
      </c>
      <c r="AL56" t="inlineStr">
        <is>
          <t>None</t>
        </is>
      </c>
      <c r="AM56" t="inlineStr">
        <is>
          <t>None</t>
        </is>
      </c>
      <c r="AN56" t="inlineStr">
        <is>
          <t>Healthy</t>
        </is>
      </c>
      <c r="AO56" t="inlineStr">
        <is>
          <t>C</t>
        </is>
      </c>
      <c r="AP56" t="inlineStr"/>
      <c r="AQ56">
        <f>IF(AM56="P1",100,IF(AM56="P2",67,IF(AM56="P3",33,0)))</f>
        <v/>
      </c>
      <c r="AR56">
        <f>MIN(100,INT(IF(AI56&gt;0,AI56/Z56,AJ56/AD56)*100))</f>
        <v/>
      </c>
      <c r="AS56">
        <f>IF(AI56+AJ56=0,0,INT(100/D56))</f>
        <v/>
      </c>
      <c r="AT56">
        <f>IF(AO56="A",100,IF(AO56="B",67,33))</f>
        <v/>
      </c>
      <c r="AU56">
        <f>ROUND(0.40*AQ56+0.30*AR56+0.20*AS56+0.10*AT56,0)</f>
        <v/>
      </c>
      <c r="AV56" t="inlineStr"/>
    </row>
    <row r="57">
      <c r="A57" t="inlineStr"/>
      <c r="B57" t="inlineStr">
        <is>
          <t>2026-04-17</t>
        </is>
      </c>
      <c r="C57" t="inlineStr">
        <is>
          <t>2026-03-29</t>
        </is>
      </c>
      <c r="D57" t="n">
        <v>8</v>
      </c>
      <c r="E57" t="inlineStr">
        <is>
          <t>SKU_0001</t>
        </is>
      </c>
      <c r="F57" t="inlineStr">
        <is>
          <t>F1</t>
        </is>
      </c>
      <c r="G57" t="inlineStr">
        <is>
          <t>F1</t>
        </is>
      </c>
      <c r="H57" t="inlineStr">
        <is>
          <t>Detroit</t>
        </is>
      </c>
      <c r="I57" t="inlineStr">
        <is>
          <t>Midwest</t>
        </is>
      </c>
      <c r="J57" t="n">
        <v>42.3314</v>
      </c>
      <c r="K57" t="n">
        <v>-83.0458</v>
      </c>
      <c r="L57" t="inlineStr">
        <is>
          <t>Factory</t>
        </is>
      </c>
      <c r="M57" t="inlineStr">
        <is>
          <t>Medical Devices &amp; Diagnostics</t>
        </is>
      </c>
      <c r="N57" t="n">
        <v>2740</v>
      </c>
      <c r="O57" t="n">
        <v>880</v>
      </c>
      <c r="P57" t="n">
        <v>0</v>
      </c>
      <c r="Q57" t="n">
        <v>880</v>
      </c>
      <c r="R57" t="n">
        <v>478</v>
      </c>
      <c r="S57" t="n">
        <v>0</v>
      </c>
      <c r="T57" t="n">
        <v>478</v>
      </c>
      <c r="U57" t="n">
        <v>0</v>
      </c>
      <c r="V57" t="n">
        <v>2338</v>
      </c>
      <c r="W57" t="n">
        <v>18.6</v>
      </c>
      <c r="X57" t="n">
        <v>4</v>
      </c>
      <c r="Y57" t="n">
        <v>28</v>
      </c>
      <c r="Z57" t="n">
        <v>1187</v>
      </c>
      <c r="AA57" t="n">
        <v>28</v>
      </c>
      <c r="AB57" t="n">
        <v>1187</v>
      </c>
      <c r="AC57" t="n">
        <v>65</v>
      </c>
      <c r="AD57" t="n">
        <v>2743</v>
      </c>
      <c r="AE57" t="n">
        <v>1187</v>
      </c>
      <c r="AF57" t="n">
        <v>2743</v>
      </c>
      <c r="AG57" t="n">
        <v>100</v>
      </c>
      <c r="AH57" t="n">
        <v>0</v>
      </c>
      <c r="AI57" t="n">
        <v>0</v>
      </c>
      <c r="AJ57" t="n">
        <v>0</v>
      </c>
      <c r="AK57" t="inlineStr">
        <is>
          <t>MDS</t>
        </is>
      </c>
      <c r="AL57" t="inlineStr">
        <is>
          <t>None</t>
        </is>
      </c>
      <c r="AM57" t="inlineStr">
        <is>
          <t>None</t>
        </is>
      </c>
      <c r="AN57" t="inlineStr">
        <is>
          <t>Healthy</t>
        </is>
      </c>
      <c r="AO57" t="inlineStr">
        <is>
          <t>C</t>
        </is>
      </c>
      <c r="AP57" t="inlineStr"/>
      <c r="AQ57">
        <f>IF(AM57="P1",100,IF(AM57="P2",67,IF(AM57="P3",33,0)))</f>
        <v/>
      </c>
      <c r="AR57">
        <f>MIN(100,INT(IF(AI57&gt;0,AI57/Z57,AJ57/AD57)*100))</f>
        <v/>
      </c>
      <c r="AS57">
        <f>IF(AI57+AJ57=0,0,INT(100/D57))</f>
        <v/>
      </c>
      <c r="AT57">
        <f>IF(AO57="A",100,IF(AO57="B",67,33))</f>
        <v/>
      </c>
      <c r="AU57">
        <f>ROUND(0.40*AQ57+0.30*AR57+0.20*AS57+0.10*AT57,0)</f>
        <v/>
      </c>
      <c r="AV57" t="inlineStr"/>
    </row>
    <row r="58">
      <c r="A58" t="inlineStr"/>
      <c r="B58" t="inlineStr">
        <is>
          <t>2026-04-17</t>
        </is>
      </c>
      <c r="C58" t="inlineStr">
        <is>
          <t>2026-04-05</t>
        </is>
      </c>
      <c r="D58" t="n">
        <v>9</v>
      </c>
      <c r="E58" t="inlineStr">
        <is>
          <t>SKU_0001</t>
        </is>
      </c>
      <c r="F58" t="inlineStr">
        <is>
          <t>F1</t>
        </is>
      </c>
      <c r="G58" t="inlineStr">
        <is>
          <t>F1</t>
        </is>
      </c>
      <c r="H58" t="inlineStr">
        <is>
          <t>Detroit</t>
        </is>
      </c>
      <c r="I58" t="inlineStr">
        <is>
          <t>Midwest</t>
        </is>
      </c>
      <c r="J58" t="n">
        <v>42.3314</v>
      </c>
      <c r="K58" t="n">
        <v>-83.0458</v>
      </c>
      <c r="L58" t="inlineStr">
        <is>
          <t>Factory</t>
        </is>
      </c>
      <c r="M58" t="inlineStr">
        <is>
          <t>Medical Devices &amp; Diagnostics</t>
        </is>
      </c>
      <c r="N58" t="n">
        <v>2338</v>
      </c>
      <c r="O58" t="n">
        <v>669</v>
      </c>
      <c r="P58" t="n">
        <v>0</v>
      </c>
      <c r="Q58" t="n">
        <v>669</v>
      </c>
      <c r="R58" t="n">
        <v>0</v>
      </c>
      <c r="S58" t="n">
        <v>752</v>
      </c>
      <c r="T58" t="n">
        <v>752</v>
      </c>
      <c r="U58" t="n">
        <v>0</v>
      </c>
      <c r="V58" t="n">
        <v>2421</v>
      </c>
      <c r="W58" t="n">
        <v>25.3</v>
      </c>
      <c r="X58" t="n">
        <v>4</v>
      </c>
      <c r="Y58" t="n">
        <v>28</v>
      </c>
      <c r="Z58" t="n">
        <v>1187</v>
      </c>
      <c r="AA58" t="n">
        <v>28</v>
      </c>
      <c r="AB58" t="n">
        <v>1187</v>
      </c>
      <c r="AC58" t="n">
        <v>65</v>
      </c>
      <c r="AD58" t="n">
        <v>2743</v>
      </c>
      <c r="AE58" t="n">
        <v>1187</v>
      </c>
      <c r="AF58" t="n">
        <v>2743</v>
      </c>
      <c r="AG58" t="n">
        <v>100</v>
      </c>
      <c r="AH58" t="n">
        <v>0</v>
      </c>
      <c r="AI58" t="n">
        <v>0</v>
      </c>
      <c r="AJ58" t="n">
        <v>0</v>
      </c>
      <c r="AK58" t="inlineStr">
        <is>
          <t>MDS</t>
        </is>
      </c>
      <c r="AL58" t="inlineStr">
        <is>
          <t>None</t>
        </is>
      </c>
      <c r="AM58" t="inlineStr">
        <is>
          <t>None</t>
        </is>
      </c>
      <c r="AN58" t="inlineStr">
        <is>
          <t>Healthy</t>
        </is>
      </c>
      <c r="AO58" t="inlineStr">
        <is>
          <t>C</t>
        </is>
      </c>
      <c r="AP58" t="inlineStr"/>
      <c r="AQ58">
        <f>IF(AM58="P1",100,IF(AM58="P2",67,IF(AM58="P3",33,0)))</f>
        <v/>
      </c>
      <c r="AR58">
        <f>MIN(100,INT(IF(AI58&gt;0,AI58/Z58,AJ58/AD58)*100))</f>
        <v/>
      </c>
      <c r="AS58">
        <f>IF(AI58+AJ58=0,0,INT(100/D58))</f>
        <v/>
      </c>
      <c r="AT58">
        <f>IF(AO58="A",100,IF(AO58="B",67,33))</f>
        <v/>
      </c>
      <c r="AU58">
        <f>ROUND(0.40*AQ58+0.30*AR58+0.20*AS58+0.10*AT58,0)</f>
        <v/>
      </c>
      <c r="AV58" t="inlineStr"/>
    </row>
    <row r="59">
      <c r="A59" t="inlineStr">
        <is>
          <t>BD-24536581-00034</t>
        </is>
      </c>
      <c r="B59" t="inlineStr">
        <is>
          <t>2026-04-17</t>
        </is>
      </c>
      <c r="C59" t="inlineStr">
        <is>
          <t>2026-04-12</t>
        </is>
      </c>
      <c r="D59" t="n">
        <v>10</v>
      </c>
      <c r="E59" t="inlineStr">
        <is>
          <t>SKU_0001</t>
        </is>
      </c>
      <c r="F59" t="inlineStr">
        <is>
          <t>F1</t>
        </is>
      </c>
      <c r="G59" t="inlineStr">
        <is>
          <t>F1</t>
        </is>
      </c>
      <c r="H59" t="inlineStr">
        <is>
          <t>Detroit</t>
        </is>
      </c>
      <c r="I59" t="inlineStr">
        <is>
          <t>Midwest</t>
        </is>
      </c>
      <c r="J59" t="n">
        <v>42.3314</v>
      </c>
      <c r="K59" t="n">
        <v>-83.0458</v>
      </c>
      <c r="L59" t="inlineStr">
        <is>
          <t>Factory</t>
        </is>
      </c>
      <c r="M59" t="inlineStr">
        <is>
          <t>Medical Devices &amp; Diagnostics</t>
        </is>
      </c>
      <c r="N59" t="n">
        <v>2421</v>
      </c>
      <c r="O59" t="n">
        <v>1113</v>
      </c>
      <c r="P59" t="n">
        <v>0</v>
      </c>
      <c r="Q59" t="n">
        <v>1113</v>
      </c>
      <c r="R59" t="n">
        <v>0</v>
      </c>
      <c r="S59" t="n">
        <v>2222</v>
      </c>
      <c r="T59" t="n">
        <v>2222</v>
      </c>
      <c r="U59" t="n">
        <v>0</v>
      </c>
      <c r="V59" t="n">
        <v>3530</v>
      </c>
      <c r="W59" t="n">
        <v>22.2</v>
      </c>
      <c r="X59" t="n">
        <v>4</v>
      </c>
      <c r="Y59" t="n">
        <v>28</v>
      </c>
      <c r="Z59" t="n">
        <v>1187</v>
      </c>
      <c r="AA59" t="n">
        <v>28</v>
      </c>
      <c r="AB59" t="n">
        <v>1187</v>
      </c>
      <c r="AC59" t="n">
        <v>65</v>
      </c>
      <c r="AD59" t="n">
        <v>2743</v>
      </c>
      <c r="AE59" t="n">
        <v>1187</v>
      </c>
      <c r="AF59" t="n">
        <v>2743</v>
      </c>
      <c r="AG59" t="n">
        <v>100</v>
      </c>
      <c r="AH59" t="n">
        <v>28</v>
      </c>
      <c r="AI59" t="n">
        <v>0</v>
      </c>
      <c r="AJ59" t="n">
        <v>787</v>
      </c>
      <c r="AK59" t="inlineStr">
        <is>
          <t>MDS</t>
        </is>
      </c>
      <c r="AL59" t="inlineStr">
        <is>
          <t>High ESTN</t>
        </is>
      </c>
      <c r="AM59" t="inlineStr">
        <is>
          <t>P2</t>
        </is>
      </c>
      <c r="AN59" t="inlineStr">
        <is>
          <t>At-Risk Excess</t>
        </is>
      </c>
      <c r="AO59" t="inlineStr">
        <is>
          <t>C</t>
        </is>
      </c>
      <c r="AP59" t="inlineStr"/>
      <c r="AQ59">
        <f>IF(AM59="P1",100,IF(AM59="P2",67,IF(AM59="P3",33,0)))</f>
        <v/>
      </c>
      <c r="AR59">
        <f>MIN(100,INT(IF(AI59&gt;0,AI59/Z59,AJ59/AD59)*100))</f>
        <v/>
      </c>
      <c r="AS59">
        <f>IF(AI59+AJ59=0,0,INT(100/D59))</f>
        <v/>
      </c>
      <c r="AT59">
        <f>IF(AO59="A",100,IF(AO59="B",67,33))</f>
        <v/>
      </c>
      <c r="AU59">
        <f>ROUND(0.40*AQ59+0.30*AR59+0.20*AS59+0.10*AT59,0)</f>
        <v/>
      </c>
      <c r="AV59" t="inlineStr">
        <is>
          <t>Opening inventory of 2421 and supply of 2222 exceed the demand of 1113, resulting in a projected surplus of 3530. This inventory levels violates the maximum stock threshold of 2743 units by 787 units, increasing holding risk.</t>
        </is>
      </c>
    </row>
    <row r="60">
      <c r="A60" t="inlineStr">
        <is>
          <t>BD-24536581-00035</t>
        </is>
      </c>
      <c r="B60" t="inlineStr">
        <is>
          <t>2026-04-17</t>
        </is>
      </c>
      <c r="C60" t="inlineStr">
        <is>
          <t>2026-04-19</t>
        </is>
      </c>
      <c r="D60" t="n">
        <v>11</v>
      </c>
      <c r="E60" t="inlineStr">
        <is>
          <t>SKU_0001</t>
        </is>
      </c>
      <c r="F60" t="inlineStr">
        <is>
          <t>F1</t>
        </is>
      </c>
      <c r="G60" t="inlineStr">
        <is>
          <t>F1</t>
        </is>
      </c>
      <c r="H60" t="inlineStr">
        <is>
          <t>Detroit</t>
        </is>
      </c>
      <c r="I60" t="inlineStr">
        <is>
          <t>Midwest</t>
        </is>
      </c>
      <c r="J60" t="n">
        <v>42.3314</v>
      </c>
      <c r="K60" t="n">
        <v>-83.0458</v>
      </c>
      <c r="L60" t="inlineStr">
        <is>
          <t>Factory</t>
        </is>
      </c>
      <c r="M60" t="inlineStr">
        <is>
          <t>Medical Devices &amp; Diagnostics</t>
        </is>
      </c>
      <c r="N60" t="n">
        <v>3530</v>
      </c>
      <c r="O60" t="n">
        <v>316</v>
      </c>
      <c r="P60" t="n">
        <v>0</v>
      </c>
      <c r="Q60" t="n">
        <v>316</v>
      </c>
      <c r="R60" t="n">
        <v>0</v>
      </c>
      <c r="S60" t="n">
        <v>1094</v>
      </c>
      <c r="T60" t="n">
        <v>1094</v>
      </c>
      <c r="U60" t="n">
        <v>0</v>
      </c>
      <c r="V60" t="n">
        <v>4308</v>
      </c>
      <c r="W60" t="n">
        <v>95.40000000000001</v>
      </c>
      <c r="X60" t="n">
        <v>4</v>
      </c>
      <c r="Y60" t="n">
        <v>28</v>
      </c>
      <c r="Z60" t="n">
        <v>1187</v>
      </c>
      <c r="AA60" t="n">
        <v>28</v>
      </c>
      <c r="AB60" t="n">
        <v>1187</v>
      </c>
      <c r="AC60" t="n">
        <v>65</v>
      </c>
      <c r="AD60" t="n">
        <v>2743</v>
      </c>
      <c r="AE60" t="n">
        <v>1187</v>
      </c>
      <c r="AF60" t="n">
        <v>2743</v>
      </c>
      <c r="AG60" t="n">
        <v>100</v>
      </c>
      <c r="AH60" t="n">
        <v>57</v>
      </c>
      <c r="AI60" t="n">
        <v>0</v>
      </c>
      <c r="AJ60" t="n">
        <v>1565</v>
      </c>
      <c r="AK60" t="inlineStr">
        <is>
          <t>MDS</t>
        </is>
      </c>
      <c r="AL60" t="inlineStr">
        <is>
          <t>High ESTN</t>
        </is>
      </c>
      <c r="AM60" t="inlineStr">
        <is>
          <t>P2</t>
        </is>
      </c>
      <c r="AN60" t="inlineStr">
        <is>
          <t>At-Risk Excess</t>
        </is>
      </c>
      <c r="AO60" t="inlineStr">
        <is>
          <t>C</t>
        </is>
      </c>
      <c r="AP60" t="inlineStr"/>
      <c r="AQ60">
        <f>IF(AM60="P1",100,IF(AM60="P2",67,IF(AM60="P3",33,0)))</f>
        <v/>
      </c>
      <c r="AR60">
        <f>MIN(100,INT(IF(AI60&gt;0,AI60/Z60,AJ60/AD60)*100))</f>
        <v/>
      </c>
      <c r="AS60">
        <f>IF(AI60+AJ60=0,0,INT(100/D60))</f>
        <v/>
      </c>
      <c r="AT60">
        <f>IF(AO60="A",100,IF(AO60="B",67,33))</f>
        <v/>
      </c>
      <c r="AU60">
        <f>ROUND(0.40*AQ60+0.30*AR60+0.20*AS60+0.10*AT60,0)</f>
        <v/>
      </c>
      <c r="AV60" t="inlineStr">
        <is>
          <t>Opening inventory of 3530 and supply of 1094 exceed the demand of 316, resulting in a projected surplus of 4308. This inventory levels violates the maximum stock threshold of 2743 units by 1565 units, increasing holding risk.</t>
        </is>
      </c>
    </row>
    <row r="61">
      <c r="A61" t="inlineStr">
        <is>
          <t>BD-24536581-00036</t>
        </is>
      </c>
      <c r="B61" t="inlineStr">
        <is>
          <t>2026-04-17</t>
        </is>
      </c>
      <c r="C61" t="inlineStr">
        <is>
          <t>2026-04-26</t>
        </is>
      </c>
      <c r="D61" t="n">
        <v>12</v>
      </c>
      <c r="E61" t="inlineStr">
        <is>
          <t>SKU_0001</t>
        </is>
      </c>
      <c r="F61" t="inlineStr">
        <is>
          <t>F1</t>
        </is>
      </c>
      <c r="G61" t="inlineStr">
        <is>
          <t>F1</t>
        </is>
      </c>
      <c r="H61" t="inlineStr">
        <is>
          <t>Detroit</t>
        </is>
      </c>
      <c r="I61" t="inlineStr">
        <is>
          <t>Midwest</t>
        </is>
      </c>
      <c r="J61" t="n">
        <v>42.3314</v>
      </c>
      <c r="K61" t="n">
        <v>-83.0458</v>
      </c>
      <c r="L61" t="inlineStr">
        <is>
          <t>Factory</t>
        </is>
      </c>
      <c r="M61" t="inlineStr">
        <is>
          <t>Medical Devices &amp; Diagnostics</t>
        </is>
      </c>
      <c r="N61" t="n">
        <v>4308</v>
      </c>
      <c r="O61" t="n">
        <v>0</v>
      </c>
      <c r="P61" t="n">
        <v>0</v>
      </c>
      <c r="Q61" t="n">
        <v>0</v>
      </c>
      <c r="R61" t="n">
        <v>420</v>
      </c>
      <c r="S61" t="n">
        <v>0</v>
      </c>
      <c r="T61" t="n">
        <v>420</v>
      </c>
      <c r="U61" t="n">
        <v>0</v>
      </c>
      <c r="V61" t="n">
        <v>4728</v>
      </c>
      <c r="W61" t="n">
        <v>0</v>
      </c>
      <c r="X61" t="n">
        <v>4</v>
      </c>
      <c r="Y61" t="n">
        <v>28</v>
      </c>
      <c r="Z61" t="n">
        <v>1187</v>
      </c>
      <c r="AA61" t="n">
        <v>28</v>
      </c>
      <c r="AB61" t="n">
        <v>1187</v>
      </c>
      <c r="AC61" t="n">
        <v>65</v>
      </c>
      <c r="AD61" t="n">
        <v>2743</v>
      </c>
      <c r="AE61" t="n">
        <v>1187</v>
      </c>
      <c r="AF61" t="n">
        <v>2743</v>
      </c>
      <c r="AG61" t="n">
        <v>100</v>
      </c>
      <c r="AH61" t="n">
        <v>72</v>
      </c>
      <c r="AI61" t="n">
        <v>0</v>
      </c>
      <c r="AJ61" t="n">
        <v>1985</v>
      </c>
      <c r="AK61" t="inlineStr">
        <is>
          <t>MDS</t>
        </is>
      </c>
      <c r="AL61" t="inlineStr">
        <is>
          <t>High ESTN</t>
        </is>
      </c>
      <c r="AM61" t="inlineStr">
        <is>
          <t>P2</t>
        </is>
      </c>
      <c r="AN61" t="inlineStr">
        <is>
          <t>At-Risk Excess</t>
        </is>
      </c>
      <c r="AO61" t="inlineStr">
        <is>
          <t>C</t>
        </is>
      </c>
      <c r="AP61" t="inlineStr"/>
      <c r="AQ61">
        <f>IF(AM61="P1",100,IF(AM61="P2",67,IF(AM61="P3",33,0)))</f>
        <v/>
      </c>
      <c r="AR61">
        <f>MIN(100,INT(IF(AI61&gt;0,AI61/Z61,AJ61/AD61)*100))</f>
        <v/>
      </c>
      <c r="AS61">
        <f>IF(AI61+AJ61=0,0,INT(100/D61))</f>
        <v/>
      </c>
      <c r="AT61">
        <f>IF(AO61="A",100,IF(AO61="B",67,33))</f>
        <v/>
      </c>
      <c r="AU61">
        <f>ROUND(0.40*AQ61+0.30*AR61+0.20*AS61+0.10*AT61,0)</f>
        <v/>
      </c>
      <c r="AV61" t="inlineStr">
        <is>
          <t>Opening inventory of 4308 and supply of 0 exceed the demand of 0, resulting in a projected surplus of 4728. This inventory levels violates the maximum stock threshold of 2743 units by 1985 units, increasing holding risk.</t>
        </is>
      </c>
    </row>
    <row r="62">
      <c r="A62" t="inlineStr">
        <is>
          <t>BD-24536581-00037</t>
        </is>
      </c>
      <c r="B62" t="inlineStr">
        <is>
          <t>2026-04-17</t>
        </is>
      </c>
      <c r="C62" t="inlineStr">
        <is>
          <t>2026-02-08</t>
        </is>
      </c>
      <c r="D62" t="n">
        <v>1</v>
      </c>
      <c r="E62" t="inlineStr">
        <is>
          <t>SKU_0002</t>
        </is>
      </c>
      <c r="F62" t="inlineStr">
        <is>
          <t>DC1</t>
        </is>
      </c>
      <c r="G62" t="inlineStr">
        <is>
          <t>F1</t>
        </is>
      </c>
      <c r="H62" t="inlineStr">
        <is>
          <t>New York</t>
        </is>
      </c>
      <c r="I62" t="inlineStr">
        <is>
          <t>Northeast</t>
        </is>
      </c>
      <c r="J62" t="n">
        <v>40.7128</v>
      </c>
      <c r="K62" t="n">
        <v>-74.006</v>
      </c>
      <c r="L62" t="inlineStr">
        <is>
          <t>DC</t>
        </is>
      </c>
      <c r="M62" t="inlineStr">
        <is>
          <t>Medical Devices &amp; Diagnostics</t>
        </is>
      </c>
      <c r="N62" t="n">
        <v>385</v>
      </c>
      <c r="O62" t="n">
        <v>82</v>
      </c>
      <c r="P62" t="n">
        <v>0</v>
      </c>
      <c r="Q62" t="n">
        <v>82</v>
      </c>
      <c r="R62" t="n">
        <v>0</v>
      </c>
      <c r="S62" t="n">
        <v>0</v>
      </c>
      <c r="T62" t="n">
        <v>0</v>
      </c>
      <c r="U62" t="n">
        <v>0</v>
      </c>
      <c r="V62" t="n">
        <v>303</v>
      </c>
      <c r="W62" t="n">
        <v>25.9</v>
      </c>
      <c r="X62" t="n">
        <v>3</v>
      </c>
      <c r="Y62" t="n">
        <v>28</v>
      </c>
      <c r="Z62" t="n">
        <v>480</v>
      </c>
      <c r="AA62" t="n">
        <v>21</v>
      </c>
      <c r="AB62" t="n">
        <v>360</v>
      </c>
      <c r="AC62" t="n">
        <v>111</v>
      </c>
      <c r="AD62" t="n">
        <v>1910</v>
      </c>
      <c r="AE62" t="n">
        <v>480</v>
      </c>
      <c r="AF62" t="n">
        <v>1910</v>
      </c>
      <c r="AG62" t="n">
        <v>63</v>
      </c>
      <c r="AH62" t="n">
        <v>0</v>
      </c>
      <c r="AI62" t="n">
        <v>177</v>
      </c>
      <c r="AJ62" t="n">
        <v>0</v>
      </c>
      <c r="AK62" t="inlineStr">
        <is>
          <t>MDS</t>
        </is>
      </c>
      <c r="AL62" t="inlineStr">
        <is>
          <t>High MSTN</t>
        </is>
      </c>
      <c r="AM62" t="inlineStr">
        <is>
          <t>P1</t>
        </is>
      </c>
      <c r="AN62" t="inlineStr">
        <is>
          <t>Critical Stockout</t>
        </is>
      </c>
      <c r="AO62" t="inlineStr">
        <is>
          <t>A</t>
        </is>
      </c>
      <c r="AP62" t="inlineStr"/>
      <c r="AQ62">
        <f>IF(AM62="P1",100,IF(AM62="P2",67,IF(AM62="P3",33,0)))</f>
        <v/>
      </c>
      <c r="AR62">
        <f>MIN(100,INT(IF(AI62&gt;0,AI62/Z62,AJ62/AD62)*100))</f>
        <v/>
      </c>
      <c r="AS62">
        <f>IF(AI62+AJ62=0,0,INT(100/D62))</f>
        <v/>
      </c>
      <c r="AT62">
        <f>IF(AO62="A",100,IF(AO62="B",67,33))</f>
        <v/>
      </c>
      <c r="AU62">
        <f>ROUND(0.40*AQ62+0.30*AR62+0.20*AS62+0.10*AT62,0)</f>
        <v/>
      </c>
      <c r="AV62" t="inlineStr">
        <is>
          <t>Opening inventory of 385 and supply of 0 are sufficient to cover the demand of 82. However, the projected closing inventory of 303 falls 177 units below the target safety stock requirement of 480, compromising the critical service level buffer.</t>
        </is>
      </c>
    </row>
    <row r="63">
      <c r="A63" t="inlineStr"/>
      <c r="B63" t="inlineStr">
        <is>
          <t>2026-04-17</t>
        </is>
      </c>
      <c r="C63" t="inlineStr">
        <is>
          <t>2026-02-15</t>
        </is>
      </c>
      <c r="D63" t="n">
        <v>2</v>
      </c>
      <c r="E63" t="inlineStr">
        <is>
          <t>SKU_0002</t>
        </is>
      </c>
      <c r="F63" t="inlineStr">
        <is>
          <t>DC1</t>
        </is>
      </c>
      <c r="G63" t="inlineStr">
        <is>
          <t>F1</t>
        </is>
      </c>
      <c r="H63" t="inlineStr">
        <is>
          <t>New York</t>
        </is>
      </c>
      <c r="I63" t="inlineStr">
        <is>
          <t>Northeast</t>
        </is>
      </c>
      <c r="J63" t="n">
        <v>40.7128</v>
      </c>
      <c r="K63" t="n">
        <v>-74.006</v>
      </c>
      <c r="L63" t="inlineStr">
        <is>
          <t>DC</t>
        </is>
      </c>
      <c r="M63" t="inlineStr">
        <is>
          <t>Medical Devices &amp; Diagnostics</t>
        </is>
      </c>
      <c r="N63" t="n">
        <v>303</v>
      </c>
      <c r="O63" t="n">
        <v>168</v>
      </c>
      <c r="P63" t="n">
        <v>0</v>
      </c>
      <c r="Q63" t="n">
        <v>168</v>
      </c>
      <c r="R63" t="n">
        <v>0</v>
      </c>
      <c r="S63" t="n">
        <v>356</v>
      </c>
      <c r="T63" t="n">
        <v>356</v>
      </c>
      <c r="U63" t="n">
        <v>0</v>
      </c>
      <c r="V63" t="n">
        <v>491</v>
      </c>
      <c r="W63" t="n">
        <v>20.5</v>
      </c>
      <c r="X63" t="n">
        <v>3</v>
      </c>
      <c r="Y63" t="n">
        <v>28</v>
      </c>
      <c r="Z63" t="n">
        <v>480</v>
      </c>
      <c r="AA63" t="n">
        <v>21</v>
      </c>
      <c r="AB63" t="n">
        <v>360</v>
      </c>
      <c r="AC63" t="n">
        <v>111</v>
      </c>
      <c r="AD63" t="n">
        <v>1910</v>
      </c>
      <c r="AE63" t="n">
        <v>480</v>
      </c>
      <c r="AF63" t="n">
        <v>1910</v>
      </c>
      <c r="AG63" t="n">
        <v>100</v>
      </c>
      <c r="AH63" t="n">
        <v>0</v>
      </c>
      <c r="AI63" t="n">
        <v>0</v>
      </c>
      <c r="AJ63" t="n">
        <v>0</v>
      </c>
      <c r="AK63" t="inlineStr">
        <is>
          <t>MDS</t>
        </is>
      </c>
      <c r="AL63" t="inlineStr">
        <is>
          <t>None</t>
        </is>
      </c>
      <c r="AM63" t="inlineStr">
        <is>
          <t>None</t>
        </is>
      </c>
      <c r="AN63" t="inlineStr">
        <is>
          <t>Healthy</t>
        </is>
      </c>
      <c r="AO63" t="inlineStr">
        <is>
          <t>A</t>
        </is>
      </c>
      <c r="AP63" t="inlineStr"/>
      <c r="AQ63">
        <f>IF(AM63="P1",100,IF(AM63="P2",67,IF(AM63="P3",33,0)))</f>
        <v/>
      </c>
      <c r="AR63">
        <f>MIN(100,INT(IF(AI63&gt;0,AI63/Z63,AJ63/AD63)*100))</f>
        <v/>
      </c>
      <c r="AS63">
        <f>IF(AI63+AJ63=0,0,INT(100/D63))</f>
        <v/>
      </c>
      <c r="AT63">
        <f>IF(AO63="A",100,IF(AO63="B",67,33))</f>
        <v/>
      </c>
      <c r="AU63">
        <f>ROUND(0.40*AQ63+0.30*AR63+0.20*AS63+0.10*AT63,0)</f>
        <v/>
      </c>
      <c r="AV63" t="inlineStr"/>
    </row>
    <row r="64">
      <c r="A64" t="inlineStr"/>
      <c r="B64" t="inlineStr">
        <is>
          <t>2026-04-17</t>
        </is>
      </c>
      <c r="C64" t="inlineStr">
        <is>
          <t>2026-02-22</t>
        </is>
      </c>
      <c r="D64" t="n">
        <v>3</v>
      </c>
      <c r="E64" t="inlineStr">
        <is>
          <t>SKU_0002</t>
        </is>
      </c>
      <c r="F64" t="inlineStr">
        <is>
          <t>DC1</t>
        </is>
      </c>
      <c r="G64" t="inlineStr">
        <is>
          <t>F1</t>
        </is>
      </c>
      <c r="H64" t="inlineStr">
        <is>
          <t>New York</t>
        </is>
      </c>
      <c r="I64" t="inlineStr">
        <is>
          <t>Northeast</t>
        </is>
      </c>
      <c r="J64" t="n">
        <v>40.7128</v>
      </c>
      <c r="K64" t="n">
        <v>-74.006</v>
      </c>
      <c r="L64" t="inlineStr">
        <is>
          <t>DC</t>
        </is>
      </c>
      <c r="M64" t="inlineStr">
        <is>
          <t>Medical Devices &amp; Diagnostics</t>
        </is>
      </c>
      <c r="N64" t="n">
        <v>491</v>
      </c>
      <c r="O64" t="n">
        <v>123</v>
      </c>
      <c r="P64" t="n">
        <v>0</v>
      </c>
      <c r="Q64" t="n">
        <v>123</v>
      </c>
      <c r="R64" t="n">
        <v>0</v>
      </c>
      <c r="S64" t="n">
        <v>498</v>
      </c>
      <c r="T64" t="n">
        <v>498</v>
      </c>
      <c r="U64" t="n">
        <v>0</v>
      </c>
      <c r="V64" t="n">
        <v>866</v>
      </c>
      <c r="W64" t="n">
        <v>49.3</v>
      </c>
      <c r="X64" t="n">
        <v>3</v>
      </c>
      <c r="Y64" t="n">
        <v>28</v>
      </c>
      <c r="Z64" t="n">
        <v>480</v>
      </c>
      <c r="AA64" t="n">
        <v>21</v>
      </c>
      <c r="AB64" t="n">
        <v>360</v>
      </c>
      <c r="AC64" t="n">
        <v>111</v>
      </c>
      <c r="AD64" t="n">
        <v>1910</v>
      </c>
      <c r="AE64" t="n">
        <v>480</v>
      </c>
      <c r="AF64" t="n">
        <v>1910</v>
      </c>
      <c r="AG64" t="n">
        <v>100</v>
      </c>
      <c r="AH64" t="n">
        <v>0</v>
      </c>
      <c r="AI64" t="n">
        <v>0</v>
      </c>
      <c r="AJ64" t="n">
        <v>0</v>
      </c>
      <c r="AK64" t="inlineStr">
        <is>
          <t>MDS</t>
        </is>
      </c>
      <c r="AL64" t="inlineStr">
        <is>
          <t>None</t>
        </is>
      </c>
      <c r="AM64" t="inlineStr">
        <is>
          <t>None</t>
        </is>
      </c>
      <c r="AN64" t="inlineStr">
        <is>
          <t>Healthy</t>
        </is>
      </c>
      <c r="AO64" t="inlineStr">
        <is>
          <t>A</t>
        </is>
      </c>
      <c r="AP64" t="inlineStr"/>
      <c r="AQ64">
        <f>IF(AM64="P1",100,IF(AM64="P2",67,IF(AM64="P3",33,0)))</f>
        <v/>
      </c>
      <c r="AR64">
        <f>MIN(100,INT(IF(AI64&gt;0,AI64/Z64,AJ64/AD64)*100))</f>
        <v/>
      </c>
      <c r="AS64">
        <f>IF(AI64+AJ64=0,0,INT(100/D64))</f>
        <v/>
      </c>
      <c r="AT64">
        <f>IF(AO64="A",100,IF(AO64="B",67,33))</f>
        <v/>
      </c>
      <c r="AU64">
        <f>ROUND(0.40*AQ64+0.30*AR64+0.20*AS64+0.10*AT64,0)</f>
        <v/>
      </c>
      <c r="AV64" t="inlineStr"/>
    </row>
    <row r="65">
      <c r="A65" t="inlineStr"/>
      <c r="B65" t="inlineStr">
        <is>
          <t>2026-04-17</t>
        </is>
      </c>
      <c r="C65" t="inlineStr">
        <is>
          <t>2026-03-01</t>
        </is>
      </c>
      <c r="D65" t="n">
        <v>4</v>
      </c>
      <c r="E65" t="inlineStr">
        <is>
          <t>SKU_0002</t>
        </is>
      </c>
      <c r="F65" t="inlineStr">
        <is>
          <t>DC1</t>
        </is>
      </c>
      <c r="G65" t="inlineStr">
        <is>
          <t>F1</t>
        </is>
      </c>
      <c r="H65" t="inlineStr">
        <is>
          <t>New York</t>
        </is>
      </c>
      <c r="I65" t="inlineStr">
        <is>
          <t>Northeast</t>
        </is>
      </c>
      <c r="J65" t="n">
        <v>40.7128</v>
      </c>
      <c r="K65" t="n">
        <v>-74.006</v>
      </c>
      <c r="L65" t="inlineStr">
        <is>
          <t>DC</t>
        </is>
      </c>
      <c r="M65" t="inlineStr">
        <is>
          <t>Medical Devices &amp; Diagnostics</t>
        </is>
      </c>
      <c r="N65" t="n">
        <v>866</v>
      </c>
      <c r="O65" t="n">
        <v>123</v>
      </c>
      <c r="P65" t="n">
        <v>0</v>
      </c>
      <c r="Q65" t="n">
        <v>123</v>
      </c>
      <c r="R65" t="n">
        <v>0</v>
      </c>
      <c r="S65" t="n">
        <v>737</v>
      </c>
      <c r="T65" t="n">
        <v>737</v>
      </c>
      <c r="U65" t="n">
        <v>0</v>
      </c>
      <c r="V65" t="n">
        <v>1480</v>
      </c>
      <c r="W65" t="n">
        <v>84.2</v>
      </c>
      <c r="X65" t="n">
        <v>3</v>
      </c>
      <c r="Y65" t="n">
        <v>28</v>
      </c>
      <c r="Z65" t="n">
        <v>480</v>
      </c>
      <c r="AA65" t="n">
        <v>21</v>
      </c>
      <c r="AB65" t="n">
        <v>360</v>
      </c>
      <c r="AC65" t="n">
        <v>111</v>
      </c>
      <c r="AD65" t="n">
        <v>1910</v>
      </c>
      <c r="AE65" t="n">
        <v>480</v>
      </c>
      <c r="AF65" t="n">
        <v>1910</v>
      </c>
      <c r="AG65" t="n">
        <v>100</v>
      </c>
      <c r="AH65" t="n">
        <v>0</v>
      </c>
      <c r="AI65" t="n">
        <v>0</v>
      </c>
      <c r="AJ65" t="n">
        <v>0</v>
      </c>
      <c r="AK65" t="inlineStr">
        <is>
          <t>MDS</t>
        </is>
      </c>
      <c r="AL65" t="inlineStr">
        <is>
          <t>None</t>
        </is>
      </c>
      <c r="AM65" t="inlineStr">
        <is>
          <t>None</t>
        </is>
      </c>
      <c r="AN65" t="inlineStr">
        <is>
          <t>Healthy</t>
        </is>
      </c>
      <c r="AO65" t="inlineStr">
        <is>
          <t>A</t>
        </is>
      </c>
      <c r="AP65" t="inlineStr"/>
      <c r="AQ65">
        <f>IF(AM65="P1",100,IF(AM65="P2",67,IF(AM65="P3",33,0)))</f>
        <v/>
      </c>
      <c r="AR65">
        <f>MIN(100,INT(IF(AI65&gt;0,AI65/Z65,AJ65/AD65)*100))</f>
        <v/>
      </c>
      <c r="AS65">
        <f>IF(AI65+AJ65=0,0,INT(100/D65))</f>
        <v/>
      </c>
      <c r="AT65">
        <f>IF(AO65="A",100,IF(AO65="B",67,33))</f>
        <v/>
      </c>
      <c r="AU65">
        <f>ROUND(0.40*AQ65+0.30*AR65+0.20*AS65+0.10*AT65,0)</f>
        <v/>
      </c>
      <c r="AV65" t="inlineStr"/>
    </row>
    <row r="66">
      <c r="A66" t="inlineStr"/>
      <c r="B66" t="inlineStr">
        <is>
          <t>2026-04-17</t>
        </is>
      </c>
      <c r="C66" t="inlineStr">
        <is>
          <t>2026-03-08</t>
        </is>
      </c>
      <c r="D66" t="n">
        <v>5</v>
      </c>
      <c r="E66" t="inlineStr">
        <is>
          <t>SKU_0002</t>
        </is>
      </c>
      <c r="F66" t="inlineStr">
        <is>
          <t>DC1</t>
        </is>
      </c>
      <c r="G66" t="inlineStr">
        <is>
          <t>F1</t>
        </is>
      </c>
      <c r="H66" t="inlineStr">
        <is>
          <t>New York</t>
        </is>
      </c>
      <c r="I66" t="inlineStr">
        <is>
          <t>Northeast</t>
        </is>
      </c>
      <c r="J66" t="n">
        <v>40.7128</v>
      </c>
      <c r="K66" t="n">
        <v>-74.006</v>
      </c>
      <c r="L66" t="inlineStr">
        <is>
          <t>DC</t>
        </is>
      </c>
      <c r="M66" t="inlineStr">
        <is>
          <t>Medical Devices &amp; Diagnostics</t>
        </is>
      </c>
      <c r="N66" t="n">
        <v>1480</v>
      </c>
      <c r="O66" t="n">
        <v>143</v>
      </c>
      <c r="P66" t="n">
        <v>0</v>
      </c>
      <c r="Q66" t="n">
        <v>143</v>
      </c>
      <c r="R66" t="n">
        <v>0</v>
      </c>
      <c r="S66" t="n">
        <v>943</v>
      </c>
      <c r="T66" t="n">
        <v>943</v>
      </c>
      <c r="U66" t="n">
        <v>0</v>
      </c>
      <c r="V66" t="n">
        <v>2280</v>
      </c>
      <c r="W66" t="n">
        <v>111.6</v>
      </c>
      <c r="X66" t="n">
        <v>3</v>
      </c>
      <c r="Y66" t="n">
        <v>28</v>
      </c>
      <c r="Z66" t="n">
        <v>480</v>
      </c>
      <c r="AA66" t="n">
        <v>21</v>
      </c>
      <c r="AB66" t="n">
        <v>360</v>
      </c>
      <c r="AC66" t="n">
        <v>111</v>
      </c>
      <c r="AD66" t="n">
        <v>1910</v>
      </c>
      <c r="AE66" t="n">
        <v>480</v>
      </c>
      <c r="AF66" t="n">
        <v>1910</v>
      </c>
      <c r="AG66" t="n">
        <v>100</v>
      </c>
      <c r="AH66" t="n">
        <v>19</v>
      </c>
      <c r="AI66" t="n">
        <v>0</v>
      </c>
      <c r="AJ66" t="n">
        <v>370</v>
      </c>
      <c r="AK66" t="inlineStr">
        <is>
          <t>MDS</t>
        </is>
      </c>
      <c r="AL66" t="inlineStr">
        <is>
          <t>None</t>
        </is>
      </c>
      <c r="AM66" t="inlineStr">
        <is>
          <t>None</t>
        </is>
      </c>
      <c r="AN66" t="inlineStr">
        <is>
          <t>Healthy</t>
        </is>
      </c>
      <c r="AO66" t="inlineStr">
        <is>
          <t>A</t>
        </is>
      </c>
      <c r="AP66" t="inlineStr"/>
      <c r="AQ66">
        <f>IF(AM66="P1",100,IF(AM66="P2",67,IF(AM66="P3",33,0)))</f>
        <v/>
      </c>
      <c r="AR66">
        <f>MIN(100,INT(IF(AI66&gt;0,AI66/Z66,AJ66/AD66)*100))</f>
        <v/>
      </c>
      <c r="AS66">
        <f>IF(AI66+AJ66=0,0,INT(100/D66))</f>
        <v/>
      </c>
      <c r="AT66">
        <f>IF(AO66="A",100,IF(AO66="B",67,33))</f>
        <v/>
      </c>
      <c r="AU66">
        <f>ROUND(0.40*AQ66+0.30*AR66+0.20*AS66+0.10*AT66,0)</f>
        <v/>
      </c>
      <c r="AV66" t="inlineStr"/>
    </row>
    <row r="67">
      <c r="A67" t="inlineStr"/>
      <c r="B67" t="inlineStr">
        <is>
          <t>2026-04-17</t>
        </is>
      </c>
      <c r="C67" t="inlineStr">
        <is>
          <t>2026-03-15</t>
        </is>
      </c>
      <c r="D67" t="n">
        <v>6</v>
      </c>
      <c r="E67" t="inlineStr">
        <is>
          <t>SKU_0002</t>
        </is>
      </c>
      <c r="F67" t="inlineStr">
        <is>
          <t>DC1</t>
        </is>
      </c>
      <c r="G67" t="inlineStr">
        <is>
          <t>F1</t>
        </is>
      </c>
      <c r="H67" t="inlineStr">
        <is>
          <t>New York</t>
        </is>
      </c>
      <c r="I67" t="inlineStr">
        <is>
          <t>Northeast</t>
        </is>
      </c>
      <c r="J67" t="n">
        <v>40.7128</v>
      </c>
      <c r="K67" t="n">
        <v>-74.006</v>
      </c>
      <c r="L67" t="inlineStr">
        <is>
          <t>DC</t>
        </is>
      </c>
      <c r="M67" t="inlineStr">
        <is>
          <t>Medical Devices &amp; Diagnostics</t>
        </is>
      </c>
      <c r="N67" t="n">
        <v>2280</v>
      </c>
      <c r="O67" t="n">
        <v>107</v>
      </c>
      <c r="P67" t="n">
        <v>0</v>
      </c>
      <c r="Q67" t="n">
        <v>107</v>
      </c>
      <c r="R67" t="n">
        <v>0</v>
      </c>
      <c r="S67" t="n">
        <v>0</v>
      </c>
      <c r="T67" t="n">
        <v>0</v>
      </c>
      <c r="U67" t="n">
        <v>0</v>
      </c>
      <c r="V67" t="n">
        <v>2173</v>
      </c>
      <c r="W67" t="n">
        <v>142.2</v>
      </c>
      <c r="X67" t="n">
        <v>3</v>
      </c>
      <c r="Y67" t="n">
        <v>28</v>
      </c>
      <c r="Z67" t="n">
        <v>480</v>
      </c>
      <c r="AA67" t="n">
        <v>21</v>
      </c>
      <c r="AB67" t="n">
        <v>360</v>
      </c>
      <c r="AC67" t="n">
        <v>111</v>
      </c>
      <c r="AD67" t="n">
        <v>1910</v>
      </c>
      <c r="AE67" t="n">
        <v>480</v>
      </c>
      <c r="AF67" t="n">
        <v>1910</v>
      </c>
      <c r="AG67" t="n">
        <v>100</v>
      </c>
      <c r="AH67" t="n">
        <v>13</v>
      </c>
      <c r="AI67" t="n">
        <v>0</v>
      </c>
      <c r="AJ67" t="n">
        <v>263</v>
      </c>
      <c r="AK67" t="inlineStr">
        <is>
          <t>MDS</t>
        </is>
      </c>
      <c r="AL67" t="inlineStr">
        <is>
          <t>None</t>
        </is>
      </c>
      <c r="AM67" t="inlineStr">
        <is>
          <t>None</t>
        </is>
      </c>
      <c r="AN67" t="inlineStr">
        <is>
          <t>Healthy</t>
        </is>
      </c>
      <c r="AO67" t="inlineStr">
        <is>
          <t>A</t>
        </is>
      </c>
      <c r="AP67" t="inlineStr"/>
      <c r="AQ67">
        <f>IF(AM67="P1",100,IF(AM67="P2",67,IF(AM67="P3",33,0)))</f>
        <v/>
      </c>
      <c r="AR67">
        <f>MIN(100,INT(IF(AI67&gt;0,AI67/Z67,AJ67/AD67)*100))</f>
        <v/>
      </c>
      <c r="AS67">
        <f>IF(AI67+AJ67=0,0,INT(100/D67))</f>
        <v/>
      </c>
      <c r="AT67">
        <f>IF(AO67="A",100,IF(AO67="B",67,33))</f>
        <v/>
      </c>
      <c r="AU67">
        <f>ROUND(0.40*AQ67+0.30*AR67+0.20*AS67+0.10*AT67,0)</f>
        <v/>
      </c>
      <c r="AV67" t="inlineStr"/>
    </row>
    <row r="68">
      <c r="A68" t="inlineStr"/>
      <c r="B68" t="inlineStr">
        <is>
          <t>2026-04-17</t>
        </is>
      </c>
      <c r="C68" t="inlineStr">
        <is>
          <t>2026-03-22</t>
        </is>
      </c>
      <c r="D68" t="n">
        <v>7</v>
      </c>
      <c r="E68" t="inlineStr">
        <is>
          <t>SKU_0002</t>
        </is>
      </c>
      <c r="F68" t="inlineStr">
        <is>
          <t>DC1</t>
        </is>
      </c>
      <c r="G68" t="inlineStr">
        <is>
          <t>F1</t>
        </is>
      </c>
      <c r="H68" t="inlineStr">
        <is>
          <t>New York</t>
        </is>
      </c>
      <c r="I68" t="inlineStr">
        <is>
          <t>Northeast</t>
        </is>
      </c>
      <c r="J68" t="n">
        <v>40.7128</v>
      </c>
      <c r="K68" t="n">
        <v>-74.006</v>
      </c>
      <c r="L68" t="inlineStr">
        <is>
          <t>DC</t>
        </is>
      </c>
      <c r="M68" t="inlineStr">
        <is>
          <t>Medical Devices &amp; Diagnostics</t>
        </is>
      </c>
      <c r="N68" t="n">
        <v>2173</v>
      </c>
      <c r="O68" t="n">
        <v>111</v>
      </c>
      <c r="P68" t="n">
        <v>0</v>
      </c>
      <c r="Q68" t="n">
        <v>111</v>
      </c>
      <c r="R68" t="n">
        <v>151</v>
      </c>
      <c r="S68" t="n">
        <v>0</v>
      </c>
      <c r="T68" t="n">
        <v>151</v>
      </c>
      <c r="U68" t="n">
        <v>0</v>
      </c>
      <c r="V68" t="n">
        <v>2213</v>
      </c>
      <c r="W68" t="n">
        <v>139.6</v>
      </c>
      <c r="X68" t="n">
        <v>3</v>
      </c>
      <c r="Y68" t="n">
        <v>28</v>
      </c>
      <c r="Z68" t="n">
        <v>480</v>
      </c>
      <c r="AA68" t="n">
        <v>21</v>
      </c>
      <c r="AB68" t="n">
        <v>360</v>
      </c>
      <c r="AC68" t="n">
        <v>111</v>
      </c>
      <c r="AD68" t="n">
        <v>1910</v>
      </c>
      <c r="AE68" t="n">
        <v>480</v>
      </c>
      <c r="AF68" t="n">
        <v>1910</v>
      </c>
      <c r="AG68" t="n">
        <v>100</v>
      </c>
      <c r="AH68" t="n">
        <v>15</v>
      </c>
      <c r="AI68" t="n">
        <v>0</v>
      </c>
      <c r="AJ68" t="n">
        <v>303</v>
      </c>
      <c r="AK68" t="inlineStr">
        <is>
          <t>MDS</t>
        </is>
      </c>
      <c r="AL68" t="inlineStr">
        <is>
          <t>None</t>
        </is>
      </c>
      <c r="AM68" t="inlineStr">
        <is>
          <t>None</t>
        </is>
      </c>
      <c r="AN68" t="inlineStr">
        <is>
          <t>Healthy</t>
        </is>
      </c>
      <c r="AO68" t="inlineStr">
        <is>
          <t>A</t>
        </is>
      </c>
      <c r="AP68" t="inlineStr"/>
      <c r="AQ68">
        <f>IF(AM68="P1",100,IF(AM68="P2",67,IF(AM68="P3",33,0)))</f>
        <v/>
      </c>
      <c r="AR68">
        <f>MIN(100,INT(IF(AI68&gt;0,AI68/Z68,AJ68/AD68)*100))</f>
        <v/>
      </c>
      <c r="AS68">
        <f>IF(AI68+AJ68=0,0,INT(100/D68))</f>
        <v/>
      </c>
      <c r="AT68">
        <f>IF(AO68="A",100,IF(AO68="B",67,33))</f>
        <v/>
      </c>
      <c r="AU68">
        <f>ROUND(0.40*AQ68+0.30*AR68+0.20*AS68+0.10*AT68,0)</f>
        <v/>
      </c>
      <c r="AV68" t="inlineStr"/>
    </row>
    <row r="69">
      <c r="A69" t="inlineStr"/>
      <c r="B69" t="inlineStr">
        <is>
          <t>2026-04-17</t>
        </is>
      </c>
      <c r="C69" t="inlineStr">
        <is>
          <t>2026-03-29</t>
        </is>
      </c>
      <c r="D69" t="n">
        <v>8</v>
      </c>
      <c r="E69" t="inlineStr">
        <is>
          <t>SKU_0002</t>
        </is>
      </c>
      <c r="F69" t="inlineStr">
        <is>
          <t>DC1</t>
        </is>
      </c>
      <c r="G69" t="inlineStr">
        <is>
          <t>F1</t>
        </is>
      </c>
      <c r="H69" t="inlineStr">
        <is>
          <t>New York</t>
        </is>
      </c>
      <c r="I69" t="inlineStr">
        <is>
          <t>Northeast</t>
        </is>
      </c>
      <c r="J69" t="n">
        <v>40.7128</v>
      </c>
      <c r="K69" t="n">
        <v>-74.006</v>
      </c>
      <c r="L69" t="inlineStr">
        <is>
          <t>DC</t>
        </is>
      </c>
      <c r="M69" t="inlineStr">
        <is>
          <t>Medical Devices &amp; Diagnostics</t>
        </is>
      </c>
      <c r="N69" t="n">
        <v>2213</v>
      </c>
      <c r="O69" t="n">
        <v>89</v>
      </c>
      <c r="P69" t="n">
        <v>0</v>
      </c>
      <c r="Q69" t="n">
        <v>89</v>
      </c>
      <c r="R69" t="n">
        <v>0</v>
      </c>
      <c r="S69" t="n">
        <v>0</v>
      </c>
      <c r="T69" t="n">
        <v>0</v>
      </c>
      <c r="U69" t="n">
        <v>0</v>
      </c>
      <c r="V69" t="n">
        <v>2124</v>
      </c>
      <c r="W69" t="n">
        <v>167.1</v>
      </c>
      <c r="X69" t="n">
        <v>3</v>
      </c>
      <c r="Y69" t="n">
        <v>28</v>
      </c>
      <c r="Z69" t="n">
        <v>480</v>
      </c>
      <c r="AA69" t="n">
        <v>21</v>
      </c>
      <c r="AB69" t="n">
        <v>360</v>
      </c>
      <c r="AC69" t="n">
        <v>111</v>
      </c>
      <c r="AD69" t="n">
        <v>1910</v>
      </c>
      <c r="AE69" t="n">
        <v>480</v>
      </c>
      <c r="AF69" t="n">
        <v>1910</v>
      </c>
      <c r="AG69" t="n">
        <v>100</v>
      </c>
      <c r="AH69" t="n">
        <v>11</v>
      </c>
      <c r="AI69" t="n">
        <v>0</v>
      </c>
      <c r="AJ69" t="n">
        <v>214</v>
      </c>
      <c r="AK69" t="inlineStr">
        <is>
          <t>MDS</t>
        </is>
      </c>
      <c r="AL69" t="inlineStr">
        <is>
          <t>None</t>
        </is>
      </c>
      <c r="AM69" t="inlineStr">
        <is>
          <t>None</t>
        </is>
      </c>
      <c r="AN69" t="inlineStr">
        <is>
          <t>Healthy</t>
        </is>
      </c>
      <c r="AO69" t="inlineStr">
        <is>
          <t>A</t>
        </is>
      </c>
      <c r="AP69" t="inlineStr"/>
      <c r="AQ69">
        <f>IF(AM69="P1",100,IF(AM69="P2",67,IF(AM69="P3",33,0)))</f>
        <v/>
      </c>
      <c r="AR69">
        <f>MIN(100,INT(IF(AI69&gt;0,AI69/Z69,AJ69/AD69)*100))</f>
        <v/>
      </c>
      <c r="AS69">
        <f>IF(AI69+AJ69=0,0,INT(100/D69))</f>
        <v/>
      </c>
      <c r="AT69">
        <f>IF(AO69="A",100,IF(AO69="B",67,33))</f>
        <v/>
      </c>
      <c r="AU69">
        <f>ROUND(0.40*AQ69+0.30*AR69+0.20*AS69+0.10*AT69,0)</f>
        <v/>
      </c>
      <c r="AV69" t="inlineStr"/>
    </row>
    <row r="70">
      <c r="A70" t="inlineStr">
        <is>
          <t>BD-24536581-00038</t>
        </is>
      </c>
      <c r="B70" t="inlineStr">
        <is>
          <t>2026-04-17</t>
        </is>
      </c>
      <c r="C70" t="inlineStr">
        <is>
          <t>2026-04-05</t>
        </is>
      </c>
      <c r="D70" t="n">
        <v>9</v>
      </c>
      <c r="E70" t="inlineStr">
        <is>
          <t>SKU_0002</t>
        </is>
      </c>
      <c r="F70" t="inlineStr">
        <is>
          <t>DC1</t>
        </is>
      </c>
      <c r="G70" t="inlineStr">
        <is>
          <t>F1</t>
        </is>
      </c>
      <c r="H70" t="inlineStr">
        <is>
          <t>New York</t>
        </is>
      </c>
      <c r="I70" t="inlineStr">
        <is>
          <t>Northeast</t>
        </is>
      </c>
      <c r="J70" t="n">
        <v>40.7128</v>
      </c>
      <c r="K70" t="n">
        <v>-74.006</v>
      </c>
      <c r="L70" t="inlineStr">
        <is>
          <t>DC</t>
        </is>
      </c>
      <c r="M70" t="inlineStr">
        <is>
          <t>Medical Devices &amp; Diagnostics</t>
        </is>
      </c>
      <c r="N70" t="n">
        <v>2124</v>
      </c>
      <c r="O70" t="n">
        <v>117</v>
      </c>
      <c r="P70" t="n">
        <v>0</v>
      </c>
      <c r="Q70" t="n">
        <v>117</v>
      </c>
      <c r="R70" t="n">
        <v>0</v>
      </c>
      <c r="S70" t="n">
        <v>0</v>
      </c>
      <c r="T70" t="n">
        <v>0</v>
      </c>
      <c r="U70" t="n">
        <v>0</v>
      </c>
      <c r="V70" t="n">
        <v>2007</v>
      </c>
      <c r="W70" t="n">
        <v>120.1</v>
      </c>
      <c r="X70" t="n">
        <v>3</v>
      </c>
      <c r="Y70" t="n">
        <v>28</v>
      </c>
      <c r="Z70" t="n">
        <v>480</v>
      </c>
      <c r="AA70" t="n">
        <v>21</v>
      </c>
      <c r="AB70" t="n">
        <v>360</v>
      </c>
      <c r="AC70" t="n">
        <v>111</v>
      </c>
      <c r="AD70" t="n">
        <v>1910</v>
      </c>
      <c r="AE70" t="n">
        <v>480</v>
      </c>
      <c r="AF70" t="n">
        <v>1910</v>
      </c>
      <c r="AG70" t="n">
        <v>100</v>
      </c>
      <c r="AH70" t="n">
        <v>5</v>
      </c>
      <c r="AI70" t="n">
        <v>0</v>
      </c>
      <c r="AJ70" t="n">
        <v>97</v>
      </c>
      <c r="AK70" t="inlineStr">
        <is>
          <t>MDS</t>
        </is>
      </c>
      <c r="AL70" t="inlineStr">
        <is>
          <t>Low ESTN</t>
        </is>
      </c>
      <c r="AM70" t="inlineStr">
        <is>
          <t>P2</t>
        </is>
      </c>
      <c r="AN70" t="inlineStr">
        <is>
          <t>At-Risk Excess</t>
        </is>
      </c>
      <c r="AO70" t="inlineStr">
        <is>
          <t>A</t>
        </is>
      </c>
      <c r="AP70" t="inlineStr"/>
      <c r="AQ70">
        <f>IF(AM70="P1",100,IF(AM70="P2",67,IF(AM70="P3",33,0)))</f>
        <v/>
      </c>
      <c r="AR70">
        <f>MIN(100,INT(IF(AI70&gt;0,AI70/Z70,AJ70/AD70)*100))</f>
        <v/>
      </c>
      <c r="AS70">
        <f>IF(AI70+AJ70=0,0,INT(100/D70))</f>
        <v/>
      </c>
      <c r="AT70">
        <f>IF(AO70="A",100,IF(AO70="B",67,33))</f>
        <v/>
      </c>
      <c r="AU70">
        <f>ROUND(0.40*AQ70+0.30*AR70+0.20*AS70+0.10*AT70,0)</f>
        <v/>
      </c>
      <c r="AV70" t="inlineStr">
        <is>
          <t>Opening inventory of 2124 and supply of 0 exceed the demand of 117, resulting in a projected surplus of 2007. This inventory levels violates the maximum stock threshold of 1910 units by 97 units, increasing holding risk.</t>
        </is>
      </c>
    </row>
    <row r="71">
      <c r="A71" t="inlineStr"/>
      <c r="B71" t="inlineStr">
        <is>
          <t>2026-04-17</t>
        </is>
      </c>
      <c r="C71" t="inlineStr">
        <is>
          <t>2026-04-12</t>
        </is>
      </c>
      <c r="D71" t="n">
        <v>10</v>
      </c>
      <c r="E71" t="inlineStr">
        <is>
          <t>SKU_0002</t>
        </is>
      </c>
      <c r="F71" t="inlineStr">
        <is>
          <t>DC1</t>
        </is>
      </c>
      <c r="G71" t="inlineStr">
        <is>
          <t>F1</t>
        </is>
      </c>
      <c r="H71" t="inlineStr">
        <is>
          <t>New York</t>
        </is>
      </c>
      <c r="I71" t="inlineStr">
        <is>
          <t>Northeast</t>
        </is>
      </c>
      <c r="J71" t="n">
        <v>40.7128</v>
      </c>
      <c r="K71" t="n">
        <v>-74.006</v>
      </c>
      <c r="L71" t="inlineStr">
        <is>
          <t>DC</t>
        </is>
      </c>
      <c r="M71" t="inlineStr">
        <is>
          <t>Medical Devices &amp; Diagnostics</t>
        </is>
      </c>
      <c r="N71" t="n">
        <v>2007</v>
      </c>
      <c r="O71" t="n">
        <v>108</v>
      </c>
      <c r="P71" t="n">
        <v>0</v>
      </c>
      <c r="Q71" t="n">
        <v>108</v>
      </c>
      <c r="R71" t="n">
        <v>0</v>
      </c>
      <c r="S71" t="n">
        <v>568</v>
      </c>
      <c r="T71" t="n">
        <v>568</v>
      </c>
      <c r="U71" t="n">
        <v>0</v>
      </c>
      <c r="V71" t="n">
        <v>2467</v>
      </c>
      <c r="W71" t="n">
        <v>159.9</v>
      </c>
      <c r="X71" t="n">
        <v>3</v>
      </c>
      <c r="Y71" t="n">
        <v>28</v>
      </c>
      <c r="Z71" t="n">
        <v>480</v>
      </c>
      <c r="AA71" t="n">
        <v>21</v>
      </c>
      <c r="AB71" t="n">
        <v>360</v>
      </c>
      <c r="AC71" t="n">
        <v>111</v>
      </c>
      <c r="AD71" t="n">
        <v>1910</v>
      </c>
      <c r="AE71" t="n">
        <v>480</v>
      </c>
      <c r="AF71" t="n">
        <v>1910</v>
      </c>
      <c r="AG71" t="n">
        <v>100</v>
      </c>
      <c r="AH71" t="n">
        <v>29</v>
      </c>
      <c r="AI71" t="n">
        <v>0</v>
      </c>
      <c r="AJ71" t="n">
        <v>557</v>
      </c>
      <c r="AK71" t="inlineStr">
        <is>
          <t>MDS</t>
        </is>
      </c>
      <c r="AL71" t="inlineStr">
        <is>
          <t>None</t>
        </is>
      </c>
      <c r="AM71" t="inlineStr">
        <is>
          <t>None</t>
        </is>
      </c>
      <c r="AN71" t="inlineStr">
        <is>
          <t>Healthy</t>
        </is>
      </c>
      <c r="AO71" t="inlineStr">
        <is>
          <t>A</t>
        </is>
      </c>
      <c r="AP71" t="inlineStr"/>
      <c r="AQ71">
        <f>IF(AM71="P1",100,IF(AM71="P2",67,IF(AM71="P3",33,0)))</f>
        <v/>
      </c>
      <c r="AR71">
        <f>MIN(100,INT(IF(AI71&gt;0,AI71/Z71,AJ71/AD71)*100))</f>
        <v/>
      </c>
      <c r="AS71">
        <f>IF(AI71+AJ71=0,0,INT(100/D71))</f>
        <v/>
      </c>
      <c r="AT71">
        <f>IF(AO71="A",100,IF(AO71="B",67,33))</f>
        <v/>
      </c>
      <c r="AU71">
        <f>ROUND(0.40*AQ71+0.30*AR71+0.20*AS71+0.10*AT71,0)</f>
        <v/>
      </c>
      <c r="AV71" t="inlineStr"/>
    </row>
    <row r="72">
      <c r="A72" t="inlineStr"/>
      <c r="B72" t="inlineStr">
        <is>
          <t>2026-04-17</t>
        </is>
      </c>
      <c r="C72" t="inlineStr">
        <is>
          <t>2026-04-19</t>
        </is>
      </c>
      <c r="D72" t="n">
        <v>11</v>
      </c>
      <c r="E72" t="inlineStr">
        <is>
          <t>SKU_0002</t>
        </is>
      </c>
      <c r="F72" t="inlineStr">
        <is>
          <t>DC1</t>
        </is>
      </c>
      <c r="G72" t="inlineStr">
        <is>
          <t>F1</t>
        </is>
      </c>
      <c r="H72" t="inlineStr">
        <is>
          <t>New York</t>
        </is>
      </c>
      <c r="I72" t="inlineStr">
        <is>
          <t>Northeast</t>
        </is>
      </c>
      <c r="J72" t="n">
        <v>40.7128</v>
      </c>
      <c r="K72" t="n">
        <v>-74.006</v>
      </c>
      <c r="L72" t="inlineStr">
        <is>
          <t>DC</t>
        </is>
      </c>
      <c r="M72" t="inlineStr">
        <is>
          <t>Medical Devices &amp; Diagnostics</t>
        </is>
      </c>
      <c r="N72" t="n">
        <v>2467</v>
      </c>
      <c r="O72" t="n">
        <v>116</v>
      </c>
      <c r="P72" t="n">
        <v>0</v>
      </c>
      <c r="Q72" t="n">
        <v>116</v>
      </c>
      <c r="R72" t="n">
        <v>339</v>
      </c>
      <c r="S72" t="n">
        <v>0</v>
      </c>
      <c r="T72" t="n">
        <v>339</v>
      </c>
      <c r="U72" t="n">
        <v>0</v>
      </c>
      <c r="V72" t="n">
        <v>2690</v>
      </c>
      <c r="W72" t="n">
        <v>162.3</v>
      </c>
      <c r="X72" t="n">
        <v>3</v>
      </c>
      <c r="Y72" t="n">
        <v>28</v>
      </c>
      <c r="Z72" t="n">
        <v>480</v>
      </c>
      <c r="AA72" t="n">
        <v>21</v>
      </c>
      <c r="AB72" t="n">
        <v>360</v>
      </c>
      <c r="AC72" t="n">
        <v>111</v>
      </c>
      <c r="AD72" t="n">
        <v>1910</v>
      </c>
      <c r="AE72" t="n">
        <v>480</v>
      </c>
      <c r="AF72" t="n">
        <v>1910</v>
      </c>
      <c r="AG72" t="n">
        <v>100</v>
      </c>
      <c r="AH72" t="n">
        <v>40</v>
      </c>
      <c r="AI72" t="n">
        <v>0</v>
      </c>
      <c r="AJ72" t="n">
        <v>780</v>
      </c>
      <c r="AK72" t="inlineStr">
        <is>
          <t>MDS</t>
        </is>
      </c>
      <c r="AL72" t="inlineStr">
        <is>
          <t>None</t>
        </is>
      </c>
      <c r="AM72" t="inlineStr">
        <is>
          <t>None</t>
        </is>
      </c>
      <c r="AN72" t="inlineStr">
        <is>
          <t>Healthy</t>
        </is>
      </c>
      <c r="AO72" t="inlineStr">
        <is>
          <t>A</t>
        </is>
      </c>
      <c r="AP72" t="inlineStr"/>
      <c r="AQ72">
        <f>IF(AM72="P1",100,IF(AM72="P2",67,IF(AM72="P3",33,0)))</f>
        <v/>
      </c>
      <c r="AR72">
        <f>MIN(100,INT(IF(AI72&gt;0,AI72/Z72,AJ72/AD72)*100))</f>
        <v/>
      </c>
      <c r="AS72">
        <f>IF(AI72+AJ72=0,0,INT(100/D72))</f>
        <v/>
      </c>
      <c r="AT72">
        <f>IF(AO72="A",100,IF(AO72="B",67,33))</f>
        <v/>
      </c>
      <c r="AU72">
        <f>ROUND(0.40*AQ72+0.30*AR72+0.20*AS72+0.10*AT72,0)</f>
        <v/>
      </c>
      <c r="AV72" t="inlineStr"/>
    </row>
    <row r="73">
      <c r="A73" t="inlineStr"/>
      <c r="B73" t="inlineStr">
        <is>
          <t>2026-04-17</t>
        </is>
      </c>
      <c r="C73" t="inlineStr">
        <is>
          <t>2026-04-26</t>
        </is>
      </c>
      <c r="D73" t="n">
        <v>12</v>
      </c>
      <c r="E73" t="inlineStr">
        <is>
          <t>SKU_0002</t>
        </is>
      </c>
      <c r="F73" t="inlineStr">
        <is>
          <t>DC1</t>
        </is>
      </c>
      <c r="G73" t="inlineStr">
        <is>
          <t>F1</t>
        </is>
      </c>
      <c r="H73" t="inlineStr">
        <is>
          <t>New York</t>
        </is>
      </c>
      <c r="I73" t="inlineStr">
        <is>
          <t>Northeast</t>
        </is>
      </c>
      <c r="J73" t="n">
        <v>40.7128</v>
      </c>
      <c r="K73" t="n">
        <v>-74.006</v>
      </c>
      <c r="L73" t="inlineStr">
        <is>
          <t>DC</t>
        </is>
      </c>
      <c r="M73" t="inlineStr">
        <is>
          <t>Medical Devices &amp; Diagnostics</t>
        </is>
      </c>
      <c r="N73" t="n">
        <v>2690</v>
      </c>
      <c r="O73" t="n">
        <v>100</v>
      </c>
      <c r="P73" t="n">
        <v>0</v>
      </c>
      <c r="Q73" t="n">
        <v>100</v>
      </c>
      <c r="R73" t="n">
        <v>142</v>
      </c>
      <c r="S73" t="n">
        <v>0</v>
      </c>
      <c r="T73" t="n">
        <v>142</v>
      </c>
      <c r="U73" t="n">
        <v>0</v>
      </c>
      <c r="V73" t="n">
        <v>2732</v>
      </c>
      <c r="W73" t="n">
        <v>191.2</v>
      </c>
      <c r="X73" t="n">
        <v>3</v>
      </c>
      <c r="Y73" t="n">
        <v>28</v>
      </c>
      <c r="Z73" t="n">
        <v>480</v>
      </c>
      <c r="AA73" t="n">
        <v>21</v>
      </c>
      <c r="AB73" t="n">
        <v>360</v>
      </c>
      <c r="AC73" t="n">
        <v>111</v>
      </c>
      <c r="AD73" t="n">
        <v>1910</v>
      </c>
      <c r="AE73" t="n">
        <v>480</v>
      </c>
      <c r="AF73" t="n">
        <v>1910</v>
      </c>
      <c r="AG73" t="n">
        <v>100</v>
      </c>
      <c r="AH73" t="n">
        <v>43</v>
      </c>
      <c r="AI73" t="n">
        <v>0</v>
      </c>
      <c r="AJ73" t="n">
        <v>822</v>
      </c>
      <c r="AK73" t="inlineStr">
        <is>
          <t>MDS</t>
        </is>
      </c>
      <c r="AL73" t="inlineStr">
        <is>
          <t>None</t>
        </is>
      </c>
      <c r="AM73" t="inlineStr">
        <is>
          <t>None</t>
        </is>
      </c>
      <c r="AN73" t="inlineStr">
        <is>
          <t>Healthy</t>
        </is>
      </c>
      <c r="AO73" t="inlineStr">
        <is>
          <t>A</t>
        </is>
      </c>
      <c r="AP73" t="inlineStr"/>
      <c r="AQ73">
        <f>IF(AM73="P1",100,IF(AM73="P2",67,IF(AM73="P3",33,0)))</f>
        <v/>
      </c>
      <c r="AR73">
        <f>MIN(100,INT(IF(AI73&gt;0,AI73/Z73,AJ73/AD73)*100))</f>
        <v/>
      </c>
      <c r="AS73">
        <f>IF(AI73+AJ73=0,0,INT(100/D73))</f>
        <v/>
      </c>
      <c r="AT73">
        <f>IF(AO73="A",100,IF(AO73="B",67,33))</f>
        <v/>
      </c>
      <c r="AU73">
        <f>ROUND(0.40*AQ73+0.30*AR73+0.20*AS73+0.10*AT73,0)</f>
        <v/>
      </c>
      <c r="AV73" t="inlineStr"/>
    </row>
    <row r="74">
      <c r="A74" t="inlineStr"/>
      <c r="B74" t="inlineStr">
        <is>
          <t>2026-04-17</t>
        </is>
      </c>
      <c r="C74" t="inlineStr">
        <is>
          <t>2026-02-08</t>
        </is>
      </c>
      <c r="D74" t="n">
        <v>1</v>
      </c>
      <c r="E74" t="inlineStr">
        <is>
          <t>SKU_0002</t>
        </is>
      </c>
      <c r="F74" t="inlineStr">
        <is>
          <t>DC2</t>
        </is>
      </c>
      <c r="G74" t="inlineStr">
        <is>
          <t>F1</t>
        </is>
      </c>
      <c r="H74" t="inlineStr">
        <is>
          <t>Los Angeles</t>
        </is>
      </c>
      <c r="I74" t="inlineStr">
        <is>
          <t>West</t>
        </is>
      </c>
      <c r="J74" t="n">
        <v>34.0522</v>
      </c>
      <c r="K74" t="n">
        <v>-118.2437</v>
      </c>
      <c r="L74" t="inlineStr">
        <is>
          <t>DC</t>
        </is>
      </c>
      <c r="M74" t="inlineStr">
        <is>
          <t>Medical Devices &amp; Diagnostics</t>
        </is>
      </c>
      <c r="N74" t="n">
        <v>658</v>
      </c>
      <c r="O74" t="n">
        <v>84</v>
      </c>
      <c r="P74" t="n">
        <v>0</v>
      </c>
      <c r="Q74" t="n">
        <v>84</v>
      </c>
      <c r="R74" t="n">
        <v>0</v>
      </c>
      <c r="S74" t="n">
        <v>0</v>
      </c>
      <c r="T74" t="n">
        <v>0</v>
      </c>
      <c r="U74" t="n">
        <v>0</v>
      </c>
      <c r="V74" t="n">
        <v>574</v>
      </c>
      <c r="W74" t="n">
        <v>47.8</v>
      </c>
      <c r="X74" t="n">
        <v>2</v>
      </c>
      <c r="Y74" t="n">
        <v>28</v>
      </c>
      <c r="Z74" t="n">
        <v>322</v>
      </c>
      <c r="AA74" t="n">
        <v>14</v>
      </c>
      <c r="AB74" t="n">
        <v>161</v>
      </c>
      <c r="AC74" t="n">
        <v>103</v>
      </c>
      <c r="AD74" t="n">
        <v>1190</v>
      </c>
      <c r="AE74" t="n">
        <v>322</v>
      </c>
      <c r="AF74" t="n">
        <v>1190</v>
      </c>
      <c r="AG74" t="n">
        <v>100</v>
      </c>
      <c r="AH74" t="n">
        <v>0</v>
      </c>
      <c r="AI74" t="n">
        <v>0</v>
      </c>
      <c r="AJ74" t="n">
        <v>0</v>
      </c>
      <c r="AK74" t="inlineStr">
        <is>
          <t>MDS</t>
        </is>
      </c>
      <c r="AL74" t="inlineStr">
        <is>
          <t>None</t>
        </is>
      </c>
      <c r="AM74" t="inlineStr">
        <is>
          <t>None</t>
        </is>
      </c>
      <c r="AN74" t="inlineStr">
        <is>
          <t>Healthy</t>
        </is>
      </c>
      <c r="AO74" t="inlineStr">
        <is>
          <t>A</t>
        </is>
      </c>
      <c r="AP74" t="inlineStr"/>
      <c r="AQ74">
        <f>IF(AM74="P1",100,IF(AM74="P2",67,IF(AM74="P3",33,0)))</f>
        <v/>
      </c>
      <c r="AR74">
        <f>MIN(100,INT(IF(AI74&gt;0,AI74/Z74,AJ74/AD74)*100))</f>
        <v/>
      </c>
      <c r="AS74">
        <f>IF(AI74+AJ74=0,0,INT(100/D74))</f>
        <v/>
      </c>
      <c r="AT74">
        <f>IF(AO74="A",100,IF(AO74="B",67,33))</f>
        <v/>
      </c>
      <c r="AU74">
        <f>ROUND(0.40*AQ74+0.30*AR74+0.20*AS74+0.10*AT74,0)</f>
        <v/>
      </c>
      <c r="AV74" t="inlineStr"/>
    </row>
    <row r="75">
      <c r="A75" t="inlineStr"/>
      <c r="B75" t="inlineStr">
        <is>
          <t>2026-04-17</t>
        </is>
      </c>
      <c r="C75" t="inlineStr">
        <is>
          <t>2026-02-15</t>
        </is>
      </c>
      <c r="D75" t="n">
        <v>2</v>
      </c>
      <c r="E75" t="inlineStr">
        <is>
          <t>SKU_0002</t>
        </is>
      </c>
      <c r="F75" t="inlineStr">
        <is>
          <t>DC2</t>
        </is>
      </c>
      <c r="G75" t="inlineStr">
        <is>
          <t>F1</t>
        </is>
      </c>
      <c r="H75" t="inlineStr">
        <is>
          <t>Los Angeles</t>
        </is>
      </c>
      <c r="I75" t="inlineStr">
        <is>
          <t>West</t>
        </is>
      </c>
      <c r="J75" t="n">
        <v>34.0522</v>
      </c>
      <c r="K75" t="n">
        <v>-118.2437</v>
      </c>
      <c r="L75" t="inlineStr">
        <is>
          <t>DC</t>
        </is>
      </c>
      <c r="M75" t="inlineStr">
        <is>
          <t>Medical Devices &amp; Diagnostics</t>
        </is>
      </c>
      <c r="N75" t="n">
        <v>574</v>
      </c>
      <c r="O75" t="n">
        <v>116</v>
      </c>
      <c r="P75" t="n">
        <v>0</v>
      </c>
      <c r="Q75" t="n">
        <v>116</v>
      </c>
      <c r="R75" t="n">
        <v>171</v>
      </c>
      <c r="S75" t="n">
        <v>0</v>
      </c>
      <c r="T75" t="n">
        <v>171</v>
      </c>
      <c r="U75" t="n">
        <v>0</v>
      </c>
      <c r="V75" t="n">
        <v>629</v>
      </c>
      <c r="W75" t="n">
        <v>38</v>
      </c>
      <c r="X75" t="n">
        <v>2</v>
      </c>
      <c r="Y75" t="n">
        <v>28</v>
      </c>
      <c r="Z75" t="n">
        <v>322</v>
      </c>
      <c r="AA75" t="n">
        <v>14</v>
      </c>
      <c r="AB75" t="n">
        <v>161</v>
      </c>
      <c r="AC75" t="n">
        <v>103</v>
      </c>
      <c r="AD75" t="n">
        <v>1190</v>
      </c>
      <c r="AE75" t="n">
        <v>322</v>
      </c>
      <c r="AF75" t="n">
        <v>1190</v>
      </c>
      <c r="AG75" t="n">
        <v>100</v>
      </c>
      <c r="AH75" t="n">
        <v>0</v>
      </c>
      <c r="AI75" t="n">
        <v>0</v>
      </c>
      <c r="AJ75" t="n">
        <v>0</v>
      </c>
      <c r="AK75" t="inlineStr">
        <is>
          <t>MDS</t>
        </is>
      </c>
      <c r="AL75" t="inlineStr">
        <is>
          <t>None</t>
        </is>
      </c>
      <c r="AM75" t="inlineStr">
        <is>
          <t>None</t>
        </is>
      </c>
      <c r="AN75" t="inlineStr">
        <is>
          <t>Healthy</t>
        </is>
      </c>
      <c r="AO75" t="inlineStr">
        <is>
          <t>A</t>
        </is>
      </c>
      <c r="AP75" t="inlineStr"/>
      <c r="AQ75">
        <f>IF(AM75="P1",100,IF(AM75="P2",67,IF(AM75="P3",33,0)))</f>
        <v/>
      </c>
      <c r="AR75">
        <f>MIN(100,INT(IF(AI75&gt;0,AI75/Z75,AJ75/AD75)*100))</f>
        <v/>
      </c>
      <c r="AS75">
        <f>IF(AI75+AJ75=0,0,INT(100/D75))</f>
        <v/>
      </c>
      <c r="AT75">
        <f>IF(AO75="A",100,IF(AO75="B",67,33))</f>
        <v/>
      </c>
      <c r="AU75">
        <f>ROUND(0.40*AQ75+0.30*AR75+0.20*AS75+0.10*AT75,0)</f>
        <v/>
      </c>
      <c r="AV75" t="inlineStr"/>
    </row>
    <row r="76">
      <c r="A76" t="inlineStr"/>
      <c r="B76" t="inlineStr">
        <is>
          <t>2026-04-17</t>
        </is>
      </c>
      <c r="C76" t="inlineStr">
        <is>
          <t>2026-02-22</t>
        </is>
      </c>
      <c r="D76" t="n">
        <v>3</v>
      </c>
      <c r="E76" t="inlineStr">
        <is>
          <t>SKU_0002</t>
        </is>
      </c>
      <c r="F76" t="inlineStr">
        <is>
          <t>DC2</t>
        </is>
      </c>
      <c r="G76" t="inlineStr">
        <is>
          <t>F1</t>
        </is>
      </c>
      <c r="H76" t="inlineStr">
        <is>
          <t>Los Angeles</t>
        </is>
      </c>
      <c r="I76" t="inlineStr">
        <is>
          <t>West</t>
        </is>
      </c>
      <c r="J76" t="n">
        <v>34.0522</v>
      </c>
      <c r="K76" t="n">
        <v>-118.2437</v>
      </c>
      <c r="L76" t="inlineStr">
        <is>
          <t>DC</t>
        </is>
      </c>
      <c r="M76" t="inlineStr">
        <is>
          <t>Medical Devices &amp; Diagnostics</t>
        </is>
      </c>
      <c r="N76" t="n">
        <v>629</v>
      </c>
      <c r="O76" t="n">
        <v>69</v>
      </c>
      <c r="P76" t="n">
        <v>0</v>
      </c>
      <c r="Q76" t="n">
        <v>69</v>
      </c>
      <c r="R76" t="n">
        <v>0</v>
      </c>
      <c r="S76" t="n">
        <v>158</v>
      </c>
      <c r="T76" t="n">
        <v>158</v>
      </c>
      <c r="U76" t="n">
        <v>0</v>
      </c>
      <c r="V76" t="n">
        <v>718</v>
      </c>
      <c r="W76" t="n">
        <v>72.8</v>
      </c>
      <c r="X76" t="n">
        <v>2</v>
      </c>
      <c r="Y76" t="n">
        <v>28</v>
      </c>
      <c r="Z76" t="n">
        <v>322</v>
      </c>
      <c r="AA76" t="n">
        <v>14</v>
      </c>
      <c r="AB76" t="n">
        <v>161</v>
      </c>
      <c r="AC76" t="n">
        <v>103</v>
      </c>
      <c r="AD76" t="n">
        <v>1190</v>
      </c>
      <c r="AE76" t="n">
        <v>322</v>
      </c>
      <c r="AF76" t="n">
        <v>1190</v>
      </c>
      <c r="AG76" t="n">
        <v>100</v>
      </c>
      <c r="AH76" t="n">
        <v>0</v>
      </c>
      <c r="AI76" t="n">
        <v>0</v>
      </c>
      <c r="AJ76" t="n">
        <v>0</v>
      </c>
      <c r="AK76" t="inlineStr">
        <is>
          <t>MDS</t>
        </is>
      </c>
      <c r="AL76" t="inlineStr">
        <is>
          <t>None</t>
        </is>
      </c>
      <c r="AM76" t="inlineStr">
        <is>
          <t>None</t>
        </is>
      </c>
      <c r="AN76" t="inlineStr">
        <is>
          <t>Healthy</t>
        </is>
      </c>
      <c r="AO76" t="inlineStr">
        <is>
          <t>A</t>
        </is>
      </c>
      <c r="AP76" t="inlineStr"/>
      <c r="AQ76">
        <f>IF(AM76="P1",100,IF(AM76="P2",67,IF(AM76="P3",33,0)))</f>
        <v/>
      </c>
      <c r="AR76">
        <f>MIN(100,INT(IF(AI76&gt;0,AI76/Z76,AJ76/AD76)*100))</f>
        <v/>
      </c>
      <c r="AS76">
        <f>IF(AI76+AJ76=0,0,INT(100/D76))</f>
        <v/>
      </c>
      <c r="AT76">
        <f>IF(AO76="A",100,IF(AO76="B",67,33))</f>
        <v/>
      </c>
      <c r="AU76">
        <f>ROUND(0.40*AQ76+0.30*AR76+0.20*AS76+0.10*AT76,0)</f>
        <v/>
      </c>
      <c r="AV76" t="inlineStr"/>
    </row>
    <row r="77">
      <c r="A77" t="inlineStr"/>
      <c r="B77" t="inlineStr">
        <is>
          <t>2026-04-17</t>
        </is>
      </c>
      <c r="C77" t="inlineStr">
        <is>
          <t>2026-03-01</t>
        </is>
      </c>
      <c r="D77" t="n">
        <v>4</v>
      </c>
      <c r="E77" t="inlineStr">
        <is>
          <t>SKU_0002</t>
        </is>
      </c>
      <c r="F77" t="inlineStr">
        <is>
          <t>DC2</t>
        </is>
      </c>
      <c r="G77" t="inlineStr">
        <is>
          <t>F1</t>
        </is>
      </c>
      <c r="H77" t="inlineStr">
        <is>
          <t>Los Angeles</t>
        </is>
      </c>
      <c r="I77" t="inlineStr">
        <is>
          <t>West</t>
        </is>
      </c>
      <c r="J77" t="n">
        <v>34.0522</v>
      </c>
      <c r="K77" t="n">
        <v>-118.2437</v>
      </c>
      <c r="L77" t="inlineStr">
        <is>
          <t>DC</t>
        </is>
      </c>
      <c r="M77" t="inlineStr">
        <is>
          <t>Medical Devices &amp; Diagnostics</t>
        </is>
      </c>
      <c r="N77" t="n">
        <v>718</v>
      </c>
      <c r="O77" t="n">
        <v>76</v>
      </c>
      <c r="P77" t="n">
        <v>0</v>
      </c>
      <c r="Q77" t="n">
        <v>76</v>
      </c>
      <c r="R77" t="n">
        <v>83</v>
      </c>
      <c r="S77" t="n">
        <v>0</v>
      </c>
      <c r="T77" t="n">
        <v>83</v>
      </c>
      <c r="U77" t="n">
        <v>0</v>
      </c>
      <c r="V77" t="n">
        <v>725</v>
      </c>
      <c r="W77" t="n">
        <v>66.8</v>
      </c>
      <c r="X77" t="n">
        <v>2</v>
      </c>
      <c r="Y77" t="n">
        <v>28</v>
      </c>
      <c r="Z77" t="n">
        <v>322</v>
      </c>
      <c r="AA77" t="n">
        <v>14</v>
      </c>
      <c r="AB77" t="n">
        <v>161</v>
      </c>
      <c r="AC77" t="n">
        <v>103</v>
      </c>
      <c r="AD77" t="n">
        <v>1190</v>
      </c>
      <c r="AE77" t="n">
        <v>322</v>
      </c>
      <c r="AF77" t="n">
        <v>1190</v>
      </c>
      <c r="AG77" t="n">
        <v>100</v>
      </c>
      <c r="AH77" t="n">
        <v>0</v>
      </c>
      <c r="AI77" t="n">
        <v>0</v>
      </c>
      <c r="AJ77" t="n">
        <v>0</v>
      </c>
      <c r="AK77" t="inlineStr">
        <is>
          <t>MDS</t>
        </is>
      </c>
      <c r="AL77" t="inlineStr">
        <is>
          <t>None</t>
        </is>
      </c>
      <c r="AM77" t="inlineStr">
        <is>
          <t>None</t>
        </is>
      </c>
      <c r="AN77" t="inlineStr">
        <is>
          <t>Healthy</t>
        </is>
      </c>
      <c r="AO77" t="inlineStr">
        <is>
          <t>A</t>
        </is>
      </c>
      <c r="AP77" t="inlineStr"/>
      <c r="AQ77">
        <f>IF(AM77="P1",100,IF(AM77="P2",67,IF(AM77="P3",33,0)))</f>
        <v/>
      </c>
      <c r="AR77">
        <f>MIN(100,INT(IF(AI77&gt;0,AI77/Z77,AJ77/AD77)*100))</f>
        <v/>
      </c>
      <c r="AS77">
        <f>IF(AI77+AJ77=0,0,INT(100/D77))</f>
        <v/>
      </c>
      <c r="AT77">
        <f>IF(AO77="A",100,IF(AO77="B",67,33))</f>
        <v/>
      </c>
      <c r="AU77">
        <f>ROUND(0.40*AQ77+0.30*AR77+0.20*AS77+0.10*AT77,0)</f>
        <v/>
      </c>
      <c r="AV77" t="inlineStr"/>
    </row>
    <row r="78">
      <c r="A78" t="inlineStr"/>
      <c r="B78" t="inlineStr">
        <is>
          <t>2026-04-17</t>
        </is>
      </c>
      <c r="C78" t="inlineStr">
        <is>
          <t>2026-03-08</t>
        </is>
      </c>
      <c r="D78" t="n">
        <v>5</v>
      </c>
      <c r="E78" t="inlineStr">
        <is>
          <t>SKU_0002</t>
        </is>
      </c>
      <c r="F78" t="inlineStr">
        <is>
          <t>DC2</t>
        </is>
      </c>
      <c r="G78" t="inlineStr">
        <is>
          <t>F1</t>
        </is>
      </c>
      <c r="H78" t="inlineStr">
        <is>
          <t>Los Angeles</t>
        </is>
      </c>
      <c r="I78" t="inlineStr">
        <is>
          <t>West</t>
        </is>
      </c>
      <c r="J78" t="n">
        <v>34.0522</v>
      </c>
      <c r="K78" t="n">
        <v>-118.2437</v>
      </c>
      <c r="L78" t="inlineStr">
        <is>
          <t>DC</t>
        </is>
      </c>
      <c r="M78" t="inlineStr">
        <is>
          <t>Medical Devices &amp; Diagnostics</t>
        </is>
      </c>
      <c r="N78" t="n">
        <v>725</v>
      </c>
      <c r="O78" t="n">
        <v>91</v>
      </c>
      <c r="P78" t="n">
        <v>0</v>
      </c>
      <c r="Q78" t="n">
        <v>91</v>
      </c>
      <c r="R78" t="n">
        <v>0</v>
      </c>
      <c r="S78" t="n">
        <v>471</v>
      </c>
      <c r="T78" t="n">
        <v>471</v>
      </c>
      <c r="U78" t="n">
        <v>0</v>
      </c>
      <c r="V78" t="n">
        <v>1105</v>
      </c>
      <c r="W78" t="n">
        <v>85</v>
      </c>
      <c r="X78" t="n">
        <v>2</v>
      </c>
      <c r="Y78" t="n">
        <v>28</v>
      </c>
      <c r="Z78" t="n">
        <v>322</v>
      </c>
      <c r="AA78" t="n">
        <v>14</v>
      </c>
      <c r="AB78" t="n">
        <v>161</v>
      </c>
      <c r="AC78" t="n">
        <v>103</v>
      </c>
      <c r="AD78" t="n">
        <v>1190</v>
      </c>
      <c r="AE78" t="n">
        <v>322</v>
      </c>
      <c r="AF78" t="n">
        <v>1190</v>
      </c>
      <c r="AG78" t="n">
        <v>100</v>
      </c>
      <c r="AH78" t="n">
        <v>0</v>
      </c>
      <c r="AI78" t="n">
        <v>0</v>
      </c>
      <c r="AJ78" t="n">
        <v>0</v>
      </c>
      <c r="AK78" t="inlineStr">
        <is>
          <t>MDS</t>
        </is>
      </c>
      <c r="AL78" t="inlineStr">
        <is>
          <t>None</t>
        </is>
      </c>
      <c r="AM78" t="inlineStr">
        <is>
          <t>None</t>
        </is>
      </c>
      <c r="AN78" t="inlineStr">
        <is>
          <t>Healthy</t>
        </is>
      </c>
      <c r="AO78" t="inlineStr">
        <is>
          <t>A</t>
        </is>
      </c>
      <c r="AP78" t="inlineStr"/>
      <c r="AQ78">
        <f>IF(AM78="P1",100,IF(AM78="P2",67,IF(AM78="P3",33,0)))</f>
        <v/>
      </c>
      <c r="AR78">
        <f>MIN(100,INT(IF(AI78&gt;0,AI78/Z78,AJ78/AD78)*100))</f>
        <v/>
      </c>
      <c r="AS78">
        <f>IF(AI78+AJ78=0,0,INT(100/D78))</f>
        <v/>
      </c>
      <c r="AT78">
        <f>IF(AO78="A",100,IF(AO78="B",67,33))</f>
        <v/>
      </c>
      <c r="AU78">
        <f>ROUND(0.40*AQ78+0.30*AR78+0.20*AS78+0.10*AT78,0)</f>
        <v/>
      </c>
      <c r="AV78" t="inlineStr"/>
    </row>
    <row r="79">
      <c r="A79" t="inlineStr">
        <is>
          <t>BD-24536581-00039</t>
        </is>
      </c>
      <c r="B79" t="inlineStr">
        <is>
          <t>2026-04-17</t>
        </is>
      </c>
      <c r="C79" t="inlineStr">
        <is>
          <t>2026-03-15</t>
        </is>
      </c>
      <c r="D79" t="n">
        <v>6</v>
      </c>
      <c r="E79" t="inlineStr">
        <is>
          <t>SKU_0002</t>
        </is>
      </c>
      <c r="F79" t="inlineStr">
        <is>
          <t>DC2</t>
        </is>
      </c>
      <c r="G79" t="inlineStr">
        <is>
          <t>F1</t>
        </is>
      </c>
      <c r="H79" t="inlineStr">
        <is>
          <t>Los Angeles</t>
        </is>
      </c>
      <c r="I79" t="inlineStr">
        <is>
          <t>West</t>
        </is>
      </c>
      <c r="J79" t="n">
        <v>34.0522</v>
      </c>
      <c r="K79" t="n">
        <v>-118.2437</v>
      </c>
      <c r="L79" t="inlineStr">
        <is>
          <t>DC</t>
        </is>
      </c>
      <c r="M79" t="inlineStr">
        <is>
          <t>Medical Devices &amp; Diagnostics</t>
        </is>
      </c>
      <c r="N79" t="n">
        <v>1105</v>
      </c>
      <c r="O79" t="n">
        <v>90</v>
      </c>
      <c r="P79" t="n">
        <v>0</v>
      </c>
      <c r="Q79" t="n">
        <v>90</v>
      </c>
      <c r="R79" t="n">
        <v>233</v>
      </c>
      <c r="S79" t="n">
        <v>0</v>
      </c>
      <c r="T79" t="n">
        <v>233</v>
      </c>
      <c r="U79" t="n">
        <v>0</v>
      </c>
      <c r="V79" t="n">
        <v>1248</v>
      </c>
      <c r="W79" t="n">
        <v>97.09999999999999</v>
      </c>
      <c r="X79" t="n">
        <v>2</v>
      </c>
      <c r="Y79" t="n">
        <v>28</v>
      </c>
      <c r="Z79" t="n">
        <v>322</v>
      </c>
      <c r="AA79" t="n">
        <v>14</v>
      </c>
      <c r="AB79" t="n">
        <v>161</v>
      </c>
      <c r="AC79" t="n">
        <v>103</v>
      </c>
      <c r="AD79" t="n">
        <v>1190</v>
      </c>
      <c r="AE79" t="n">
        <v>322</v>
      </c>
      <c r="AF79" t="n">
        <v>1190</v>
      </c>
      <c r="AG79" t="n">
        <v>100</v>
      </c>
      <c r="AH79" t="n">
        <v>4</v>
      </c>
      <c r="AI79" t="n">
        <v>0</v>
      </c>
      <c r="AJ79" t="n">
        <v>58</v>
      </c>
      <c r="AK79" t="inlineStr">
        <is>
          <t>MDS</t>
        </is>
      </c>
      <c r="AL79" t="inlineStr">
        <is>
          <t>Low ESTN</t>
        </is>
      </c>
      <c r="AM79" t="inlineStr">
        <is>
          <t>P3</t>
        </is>
      </c>
      <c r="AN79" t="inlineStr">
        <is>
          <t>Potential Excess</t>
        </is>
      </c>
      <c r="AO79" t="inlineStr">
        <is>
          <t>A</t>
        </is>
      </c>
      <c r="AP79" t="inlineStr"/>
      <c r="AQ79">
        <f>IF(AM79="P1",100,IF(AM79="P2",67,IF(AM79="P3",33,0)))</f>
        <v/>
      </c>
      <c r="AR79">
        <f>MIN(100,INT(IF(AI79&gt;0,AI79/Z79,AJ79/AD79)*100))</f>
        <v/>
      </c>
      <c r="AS79">
        <f>IF(AI79+AJ79=0,0,INT(100/D79))</f>
        <v/>
      </c>
      <c r="AT79">
        <f>IF(AO79="A",100,IF(AO79="B",67,33))</f>
        <v/>
      </c>
      <c r="AU79">
        <f>ROUND(0.40*AQ79+0.30*AR79+0.20*AS79+0.10*AT79,0)</f>
        <v/>
      </c>
      <c r="AV79" t="inlineStr">
        <is>
          <t>Opening inventory of 1105 and supply of 0 exceed the demand of 90, resulting in a projected surplus of 1248. This inventory levels violates the maximum stock threshold of 1190 units by 58 units, increasing holding risk.</t>
        </is>
      </c>
    </row>
    <row r="80">
      <c r="A80" t="inlineStr"/>
      <c r="B80" t="inlineStr">
        <is>
          <t>2026-04-17</t>
        </is>
      </c>
      <c r="C80" t="inlineStr">
        <is>
          <t>2026-03-22</t>
        </is>
      </c>
      <c r="D80" t="n">
        <v>7</v>
      </c>
      <c r="E80" t="inlineStr">
        <is>
          <t>SKU_0002</t>
        </is>
      </c>
      <c r="F80" t="inlineStr">
        <is>
          <t>DC2</t>
        </is>
      </c>
      <c r="G80" t="inlineStr">
        <is>
          <t>F1</t>
        </is>
      </c>
      <c r="H80" t="inlineStr">
        <is>
          <t>Los Angeles</t>
        </is>
      </c>
      <c r="I80" t="inlineStr">
        <is>
          <t>West</t>
        </is>
      </c>
      <c r="J80" t="n">
        <v>34.0522</v>
      </c>
      <c r="K80" t="n">
        <v>-118.2437</v>
      </c>
      <c r="L80" t="inlineStr">
        <is>
          <t>DC</t>
        </is>
      </c>
      <c r="M80" t="inlineStr">
        <is>
          <t>Medical Devices &amp; Diagnostics</t>
        </is>
      </c>
      <c r="N80" t="n">
        <v>1248</v>
      </c>
      <c r="O80" t="n">
        <v>75</v>
      </c>
      <c r="P80" t="n">
        <v>0</v>
      </c>
      <c r="Q80" t="n">
        <v>75</v>
      </c>
      <c r="R80" t="n">
        <v>0</v>
      </c>
      <c r="S80" t="n">
        <v>233</v>
      </c>
      <c r="T80" t="n">
        <v>233</v>
      </c>
      <c r="U80" t="n">
        <v>0</v>
      </c>
      <c r="V80" t="n">
        <v>1406</v>
      </c>
      <c r="W80" t="n">
        <v>131.2</v>
      </c>
      <c r="X80" t="n">
        <v>2</v>
      </c>
      <c r="Y80" t="n">
        <v>28</v>
      </c>
      <c r="Z80" t="n">
        <v>322</v>
      </c>
      <c r="AA80" t="n">
        <v>14</v>
      </c>
      <c r="AB80" t="n">
        <v>161</v>
      </c>
      <c r="AC80" t="n">
        <v>103</v>
      </c>
      <c r="AD80" t="n">
        <v>1190</v>
      </c>
      <c r="AE80" t="n">
        <v>322</v>
      </c>
      <c r="AF80" t="n">
        <v>1190</v>
      </c>
      <c r="AG80" t="n">
        <v>100</v>
      </c>
      <c r="AH80" t="n">
        <v>18</v>
      </c>
      <c r="AI80" t="n">
        <v>0</v>
      </c>
      <c r="AJ80" t="n">
        <v>216</v>
      </c>
      <c r="AK80" t="inlineStr">
        <is>
          <t>MDS</t>
        </is>
      </c>
      <c r="AL80" t="inlineStr">
        <is>
          <t>None</t>
        </is>
      </c>
      <c r="AM80" t="inlineStr">
        <is>
          <t>None</t>
        </is>
      </c>
      <c r="AN80" t="inlineStr">
        <is>
          <t>Healthy</t>
        </is>
      </c>
      <c r="AO80" t="inlineStr">
        <is>
          <t>A</t>
        </is>
      </c>
      <c r="AP80" t="inlineStr"/>
      <c r="AQ80">
        <f>IF(AM80="P1",100,IF(AM80="P2",67,IF(AM80="P3",33,0)))</f>
        <v/>
      </c>
      <c r="AR80">
        <f>MIN(100,INT(IF(AI80&gt;0,AI80/Z80,AJ80/AD80)*100))</f>
        <v/>
      </c>
      <c r="AS80">
        <f>IF(AI80+AJ80=0,0,INT(100/D80))</f>
        <v/>
      </c>
      <c r="AT80">
        <f>IF(AO80="A",100,IF(AO80="B",67,33))</f>
        <v/>
      </c>
      <c r="AU80">
        <f>ROUND(0.40*AQ80+0.30*AR80+0.20*AS80+0.10*AT80,0)</f>
        <v/>
      </c>
      <c r="AV80" t="inlineStr"/>
    </row>
    <row r="81">
      <c r="A81" t="inlineStr"/>
      <c r="B81" t="inlineStr">
        <is>
          <t>2026-04-17</t>
        </is>
      </c>
      <c r="C81" t="inlineStr">
        <is>
          <t>2026-03-29</t>
        </is>
      </c>
      <c r="D81" t="n">
        <v>8</v>
      </c>
      <c r="E81" t="inlineStr">
        <is>
          <t>SKU_0002</t>
        </is>
      </c>
      <c r="F81" t="inlineStr">
        <is>
          <t>DC2</t>
        </is>
      </c>
      <c r="G81" t="inlineStr">
        <is>
          <t>F1</t>
        </is>
      </c>
      <c r="H81" t="inlineStr">
        <is>
          <t>Los Angeles</t>
        </is>
      </c>
      <c r="I81" t="inlineStr">
        <is>
          <t>West</t>
        </is>
      </c>
      <c r="J81" t="n">
        <v>34.0522</v>
      </c>
      <c r="K81" t="n">
        <v>-118.2437</v>
      </c>
      <c r="L81" t="inlineStr">
        <is>
          <t>DC</t>
        </is>
      </c>
      <c r="M81" t="inlineStr">
        <is>
          <t>Medical Devices &amp; Diagnostics</t>
        </is>
      </c>
      <c r="N81" t="n">
        <v>1406</v>
      </c>
      <c r="O81" t="n">
        <v>88</v>
      </c>
      <c r="P81" t="n">
        <v>0</v>
      </c>
      <c r="Q81" t="n">
        <v>88</v>
      </c>
      <c r="R81" t="n">
        <v>0</v>
      </c>
      <c r="S81" t="n">
        <v>0</v>
      </c>
      <c r="T81" t="n">
        <v>0</v>
      </c>
      <c r="U81" t="n">
        <v>0</v>
      </c>
      <c r="V81" t="n">
        <v>1318</v>
      </c>
      <c r="W81" t="n">
        <v>104.8</v>
      </c>
      <c r="X81" t="n">
        <v>2</v>
      </c>
      <c r="Y81" t="n">
        <v>28</v>
      </c>
      <c r="Z81" t="n">
        <v>322</v>
      </c>
      <c r="AA81" t="n">
        <v>14</v>
      </c>
      <c r="AB81" t="n">
        <v>161</v>
      </c>
      <c r="AC81" t="n">
        <v>103</v>
      </c>
      <c r="AD81" t="n">
        <v>1190</v>
      </c>
      <c r="AE81" t="n">
        <v>322</v>
      </c>
      <c r="AF81" t="n">
        <v>1190</v>
      </c>
      <c r="AG81" t="n">
        <v>100</v>
      </c>
      <c r="AH81" t="n">
        <v>10</v>
      </c>
      <c r="AI81" t="n">
        <v>0</v>
      </c>
      <c r="AJ81" t="n">
        <v>128</v>
      </c>
      <c r="AK81" t="inlineStr">
        <is>
          <t>MDS</t>
        </is>
      </c>
      <c r="AL81" t="inlineStr">
        <is>
          <t>None</t>
        </is>
      </c>
      <c r="AM81" t="inlineStr">
        <is>
          <t>None</t>
        </is>
      </c>
      <c r="AN81" t="inlineStr">
        <is>
          <t>Healthy</t>
        </is>
      </c>
      <c r="AO81" t="inlineStr">
        <is>
          <t>A</t>
        </is>
      </c>
      <c r="AP81" t="inlineStr"/>
      <c r="AQ81">
        <f>IF(AM81="P1",100,IF(AM81="P2",67,IF(AM81="P3",33,0)))</f>
        <v/>
      </c>
      <c r="AR81">
        <f>MIN(100,INT(IF(AI81&gt;0,AI81/Z81,AJ81/AD81)*100))</f>
        <v/>
      </c>
      <c r="AS81">
        <f>IF(AI81+AJ81=0,0,INT(100/D81))</f>
        <v/>
      </c>
      <c r="AT81">
        <f>IF(AO81="A",100,IF(AO81="B",67,33))</f>
        <v/>
      </c>
      <c r="AU81">
        <f>ROUND(0.40*AQ81+0.30*AR81+0.20*AS81+0.10*AT81,0)</f>
        <v/>
      </c>
      <c r="AV81" t="inlineStr"/>
    </row>
    <row r="82">
      <c r="A82" t="inlineStr">
        <is>
          <t>BD-24536581-00040</t>
        </is>
      </c>
      <c r="B82" t="inlineStr">
        <is>
          <t>2026-04-17</t>
        </is>
      </c>
      <c r="C82" t="inlineStr">
        <is>
          <t>2026-04-05</t>
        </is>
      </c>
      <c r="D82" t="n">
        <v>9</v>
      </c>
      <c r="E82" t="inlineStr">
        <is>
          <t>SKU_0002</t>
        </is>
      </c>
      <c r="F82" t="inlineStr">
        <is>
          <t>DC2</t>
        </is>
      </c>
      <c r="G82" t="inlineStr">
        <is>
          <t>F1</t>
        </is>
      </c>
      <c r="H82" t="inlineStr">
        <is>
          <t>Los Angeles</t>
        </is>
      </c>
      <c r="I82" t="inlineStr">
        <is>
          <t>West</t>
        </is>
      </c>
      <c r="J82" t="n">
        <v>34.0522</v>
      </c>
      <c r="K82" t="n">
        <v>-118.2437</v>
      </c>
      <c r="L82" t="inlineStr">
        <is>
          <t>DC</t>
        </is>
      </c>
      <c r="M82" t="inlineStr">
        <is>
          <t>Medical Devices &amp; Diagnostics</t>
        </is>
      </c>
      <c r="N82" t="n">
        <v>1318</v>
      </c>
      <c r="O82" t="n">
        <v>96</v>
      </c>
      <c r="P82" t="n">
        <v>0</v>
      </c>
      <c r="Q82" t="n">
        <v>96</v>
      </c>
      <c r="R82" t="n">
        <v>0</v>
      </c>
      <c r="S82" t="n">
        <v>0</v>
      </c>
      <c r="T82" t="n">
        <v>0</v>
      </c>
      <c r="U82" t="n">
        <v>0</v>
      </c>
      <c r="V82" t="n">
        <v>1222</v>
      </c>
      <c r="W82" t="n">
        <v>89.09999999999999</v>
      </c>
      <c r="X82" t="n">
        <v>2</v>
      </c>
      <c r="Y82" t="n">
        <v>28</v>
      </c>
      <c r="Z82" t="n">
        <v>322</v>
      </c>
      <c r="AA82" t="n">
        <v>14</v>
      </c>
      <c r="AB82" t="n">
        <v>161</v>
      </c>
      <c r="AC82" t="n">
        <v>103</v>
      </c>
      <c r="AD82" t="n">
        <v>1190</v>
      </c>
      <c r="AE82" t="n">
        <v>322</v>
      </c>
      <c r="AF82" t="n">
        <v>1190</v>
      </c>
      <c r="AG82" t="n">
        <v>100</v>
      </c>
      <c r="AH82" t="n">
        <v>2</v>
      </c>
      <c r="AI82" t="n">
        <v>0</v>
      </c>
      <c r="AJ82" t="n">
        <v>32</v>
      </c>
      <c r="AK82" t="inlineStr">
        <is>
          <t>MDS</t>
        </is>
      </c>
      <c r="AL82" t="inlineStr">
        <is>
          <t>Low ESTN</t>
        </is>
      </c>
      <c r="AM82" t="inlineStr">
        <is>
          <t>P3</t>
        </is>
      </c>
      <c r="AN82" t="inlineStr">
        <is>
          <t>Potential Excess</t>
        </is>
      </c>
      <c r="AO82" t="inlineStr">
        <is>
          <t>A</t>
        </is>
      </c>
      <c r="AP82" t="inlineStr"/>
      <c r="AQ82">
        <f>IF(AM82="P1",100,IF(AM82="P2",67,IF(AM82="P3",33,0)))</f>
        <v/>
      </c>
      <c r="AR82">
        <f>MIN(100,INT(IF(AI82&gt;0,AI82/Z82,AJ82/AD82)*100))</f>
        <v/>
      </c>
      <c r="AS82">
        <f>IF(AI82+AJ82=0,0,INT(100/D82))</f>
        <v/>
      </c>
      <c r="AT82">
        <f>IF(AO82="A",100,IF(AO82="B",67,33))</f>
        <v/>
      </c>
      <c r="AU82">
        <f>ROUND(0.40*AQ82+0.30*AR82+0.20*AS82+0.10*AT82,0)</f>
        <v/>
      </c>
      <c r="AV82" t="inlineStr">
        <is>
          <t>Opening inventory of 1318 and supply of 0 exceed the demand of 96, resulting in a projected surplus of 1222. This inventory levels violates the maximum stock threshold of 1190 units by 32 units, increasing holding risk.</t>
        </is>
      </c>
    </row>
    <row r="83">
      <c r="A83" t="inlineStr"/>
      <c r="B83" t="inlineStr">
        <is>
          <t>2026-04-17</t>
        </is>
      </c>
      <c r="C83" t="inlineStr">
        <is>
          <t>2026-04-12</t>
        </is>
      </c>
      <c r="D83" t="n">
        <v>10</v>
      </c>
      <c r="E83" t="inlineStr">
        <is>
          <t>SKU_0002</t>
        </is>
      </c>
      <c r="F83" t="inlineStr">
        <is>
          <t>DC2</t>
        </is>
      </c>
      <c r="G83" t="inlineStr">
        <is>
          <t>F1</t>
        </is>
      </c>
      <c r="H83" t="inlineStr">
        <is>
          <t>Los Angeles</t>
        </is>
      </c>
      <c r="I83" t="inlineStr">
        <is>
          <t>West</t>
        </is>
      </c>
      <c r="J83" t="n">
        <v>34.0522</v>
      </c>
      <c r="K83" t="n">
        <v>-118.2437</v>
      </c>
      <c r="L83" t="inlineStr">
        <is>
          <t>DC</t>
        </is>
      </c>
      <c r="M83" t="inlineStr">
        <is>
          <t>Medical Devices &amp; Diagnostics</t>
        </is>
      </c>
      <c r="N83" t="n">
        <v>1222</v>
      </c>
      <c r="O83" t="n">
        <v>105</v>
      </c>
      <c r="P83" t="n">
        <v>0</v>
      </c>
      <c r="Q83" t="n">
        <v>105</v>
      </c>
      <c r="R83" t="n">
        <v>0</v>
      </c>
      <c r="S83" t="n">
        <v>0</v>
      </c>
      <c r="T83" t="n">
        <v>0</v>
      </c>
      <c r="U83" t="n">
        <v>0</v>
      </c>
      <c r="V83" t="n">
        <v>1117</v>
      </c>
      <c r="W83" t="n">
        <v>74.5</v>
      </c>
      <c r="X83" t="n">
        <v>2</v>
      </c>
      <c r="Y83" t="n">
        <v>28</v>
      </c>
      <c r="Z83" t="n">
        <v>322</v>
      </c>
      <c r="AA83" t="n">
        <v>14</v>
      </c>
      <c r="AB83" t="n">
        <v>161</v>
      </c>
      <c r="AC83" t="n">
        <v>103</v>
      </c>
      <c r="AD83" t="n">
        <v>1190</v>
      </c>
      <c r="AE83" t="n">
        <v>322</v>
      </c>
      <c r="AF83" t="n">
        <v>1190</v>
      </c>
      <c r="AG83" t="n">
        <v>100</v>
      </c>
      <c r="AH83" t="n">
        <v>0</v>
      </c>
      <c r="AI83" t="n">
        <v>0</v>
      </c>
      <c r="AJ83" t="n">
        <v>0</v>
      </c>
      <c r="AK83" t="inlineStr">
        <is>
          <t>MDS</t>
        </is>
      </c>
      <c r="AL83" t="inlineStr">
        <is>
          <t>None</t>
        </is>
      </c>
      <c r="AM83" t="inlineStr">
        <is>
          <t>None</t>
        </is>
      </c>
      <c r="AN83" t="inlineStr">
        <is>
          <t>Healthy</t>
        </is>
      </c>
      <c r="AO83" t="inlineStr">
        <is>
          <t>A</t>
        </is>
      </c>
      <c r="AP83" t="inlineStr"/>
      <c r="AQ83">
        <f>IF(AM83="P1",100,IF(AM83="P2",67,IF(AM83="P3",33,0)))</f>
        <v/>
      </c>
      <c r="AR83">
        <f>MIN(100,INT(IF(AI83&gt;0,AI83/Z83,AJ83/AD83)*100))</f>
        <v/>
      </c>
      <c r="AS83">
        <f>IF(AI83+AJ83=0,0,INT(100/D83))</f>
        <v/>
      </c>
      <c r="AT83">
        <f>IF(AO83="A",100,IF(AO83="B",67,33))</f>
        <v/>
      </c>
      <c r="AU83">
        <f>ROUND(0.40*AQ83+0.30*AR83+0.20*AS83+0.10*AT83,0)</f>
        <v/>
      </c>
      <c r="AV83" t="inlineStr"/>
    </row>
    <row r="84">
      <c r="A84" t="inlineStr">
        <is>
          <t>BD-24536581-00041</t>
        </is>
      </c>
      <c r="B84" t="inlineStr">
        <is>
          <t>2026-04-17</t>
        </is>
      </c>
      <c r="C84" t="inlineStr">
        <is>
          <t>2026-04-19</t>
        </is>
      </c>
      <c r="D84" t="n">
        <v>11</v>
      </c>
      <c r="E84" t="inlineStr">
        <is>
          <t>SKU_0002</t>
        </is>
      </c>
      <c r="F84" t="inlineStr">
        <is>
          <t>DC2</t>
        </is>
      </c>
      <c r="G84" t="inlineStr">
        <is>
          <t>F1</t>
        </is>
      </c>
      <c r="H84" t="inlineStr">
        <is>
          <t>Los Angeles</t>
        </is>
      </c>
      <c r="I84" t="inlineStr">
        <is>
          <t>West</t>
        </is>
      </c>
      <c r="J84" t="n">
        <v>34.0522</v>
      </c>
      <c r="K84" t="n">
        <v>-118.2437</v>
      </c>
      <c r="L84" t="inlineStr">
        <is>
          <t>DC</t>
        </is>
      </c>
      <c r="M84" t="inlineStr">
        <is>
          <t>Medical Devices &amp; Diagnostics</t>
        </is>
      </c>
      <c r="N84" t="n">
        <v>1117</v>
      </c>
      <c r="O84" t="n">
        <v>90</v>
      </c>
      <c r="P84" t="n">
        <v>0</v>
      </c>
      <c r="Q84" t="n">
        <v>90</v>
      </c>
      <c r="R84" t="n">
        <v>211</v>
      </c>
      <c r="S84" t="n">
        <v>0</v>
      </c>
      <c r="T84" t="n">
        <v>211</v>
      </c>
      <c r="U84" t="n">
        <v>0</v>
      </c>
      <c r="V84" t="n">
        <v>1238</v>
      </c>
      <c r="W84" t="n">
        <v>96.3</v>
      </c>
      <c r="X84" t="n">
        <v>2</v>
      </c>
      <c r="Y84" t="n">
        <v>28</v>
      </c>
      <c r="Z84" t="n">
        <v>322</v>
      </c>
      <c r="AA84" t="n">
        <v>14</v>
      </c>
      <c r="AB84" t="n">
        <v>161</v>
      </c>
      <c r="AC84" t="n">
        <v>103</v>
      </c>
      <c r="AD84" t="n">
        <v>1190</v>
      </c>
      <c r="AE84" t="n">
        <v>322</v>
      </c>
      <c r="AF84" t="n">
        <v>1190</v>
      </c>
      <c r="AG84" t="n">
        <v>100</v>
      </c>
      <c r="AH84" t="n">
        <v>4</v>
      </c>
      <c r="AI84" t="n">
        <v>0</v>
      </c>
      <c r="AJ84" t="n">
        <v>48</v>
      </c>
      <c r="AK84" t="inlineStr">
        <is>
          <t>MDS</t>
        </is>
      </c>
      <c r="AL84" t="inlineStr">
        <is>
          <t>Low ESTN</t>
        </is>
      </c>
      <c r="AM84" t="inlineStr">
        <is>
          <t>P3</t>
        </is>
      </c>
      <c r="AN84" t="inlineStr">
        <is>
          <t>Potential Excess</t>
        </is>
      </c>
      <c r="AO84" t="inlineStr">
        <is>
          <t>A</t>
        </is>
      </c>
      <c r="AP84" t="inlineStr"/>
      <c r="AQ84">
        <f>IF(AM84="P1",100,IF(AM84="P2",67,IF(AM84="P3",33,0)))</f>
        <v/>
      </c>
      <c r="AR84">
        <f>MIN(100,INT(IF(AI84&gt;0,AI84/Z84,AJ84/AD84)*100))</f>
        <v/>
      </c>
      <c r="AS84">
        <f>IF(AI84+AJ84=0,0,INT(100/D84))</f>
        <v/>
      </c>
      <c r="AT84">
        <f>IF(AO84="A",100,IF(AO84="B",67,33))</f>
        <v/>
      </c>
      <c r="AU84">
        <f>ROUND(0.40*AQ84+0.30*AR84+0.20*AS84+0.10*AT84,0)</f>
        <v/>
      </c>
      <c r="AV84" t="inlineStr">
        <is>
          <t>Opening inventory of 1117 and supply of 0 exceed the demand of 90, resulting in a projected surplus of 1238. This inventory levels violates the maximum stock threshold of 1190 units by 48 units, increasing holding risk.</t>
        </is>
      </c>
    </row>
    <row r="85">
      <c r="A85" t="inlineStr"/>
      <c r="B85" t="inlineStr">
        <is>
          <t>2026-04-17</t>
        </is>
      </c>
      <c r="C85" t="inlineStr">
        <is>
          <t>2026-04-26</t>
        </is>
      </c>
      <c r="D85" t="n">
        <v>12</v>
      </c>
      <c r="E85" t="inlineStr">
        <is>
          <t>SKU_0002</t>
        </is>
      </c>
      <c r="F85" t="inlineStr">
        <is>
          <t>DC2</t>
        </is>
      </c>
      <c r="G85" t="inlineStr">
        <is>
          <t>F1</t>
        </is>
      </c>
      <c r="H85" t="inlineStr">
        <is>
          <t>Los Angeles</t>
        </is>
      </c>
      <c r="I85" t="inlineStr">
        <is>
          <t>West</t>
        </is>
      </c>
      <c r="J85" t="n">
        <v>34.0522</v>
      </c>
      <c r="K85" t="n">
        <v>-118.2437</v>
      </c>
      <c r="L85" t="inlineStr">
        <is>
          <t>DC</t>
        </is>
      </c>
      <c r="M85" t="inlineStr">
        <is>
          <t>Medical Devices &amp; Diagnostics</t>
        </is>
      </c>
      <c r="N85" t="n">
        <v>1238</v>
      </c>
      <c r="O85" t="n">
        <v>97</v>
      </c>
      <c r="P85" t="n">
        <v>0</v>
      </c>
      <c r="Q85" t="n">
        <v>97</v>
      </c>
      <c r="R85" t="n">
        <v>0</v>
      </c>
      <c r="S85" t="n">
        <v>0</v>
      </c>
      <c r="T85" t="n">
        <v>0</v>
      </c>
      <c r="U85" t="n">
        <v>0</v>
      </c>
      <c r="V85" t="n">
        <v>1141</v>
      </c>
      <c r="W85" t="n">
        <v>82.3</v>
      </c>
      <c r="X85" t="n">
        <v>2</v>
      </c>
      <c r="Y85" t="n">
        <v>28</v>
      </c>
      <c r="Z85" t="n">
        <v>322</v>
      </c>
      <c r="AA85" t="n">
        <v>14</v>
      </c>
      <c r="AB85" t="n">
        <v>161</v>
      </c>
      <c r="AC85" t="n">
        <v>103</v>
      </c>
      <c r="AD85" t="n">
        <v>1190</v>
      </c>
      <c r="AE85" t="n">
        <v>322</v>
      </c>
      <c r="AF85" t="n">
        <v>1190</v>
      </c>
      <c r="AG85" t="n">
        <v>100</v>
      </c>
      <c r="AH85" t="n">
        <v>0</v>
      </c>
      <c r="AI85" t="n">
        <v>0</v>
      </c>
      <c r="AJ85" t="n">
        <v>0</v>
      </c>
      <c r="AK85" t="inlineStr">
        <is>
          <t>MDS</t>
        </is>
      </c>
      <c r="AL85" t="inlineStr">
        <is>
          <t>None</t>
        </is>
      </c>
      <c r="AM85" t="inlineStr">
        <is>
          <t>None</t>
        </is>
      </c>
      <c r="AN85" t="inlineStr">
        <is>
          <t>Healthy</t>
        </is>
      </c>
      <c r="AO85" t="inlineStr">
        <is>
          <t>A</t>
        </is>
      </c>
      <c r="AP85" t="inlineStr"/>
      <c r="AQ85">
        <f>IF(AM85="P1",100,IF(AM85="P2",67,IF(AM85="P3",33,0)))</f>
        <v/>
      </c>
      <c r="AR85">
        <f>MIN(100,INT(IF(AI85&gt;0,AI85/Z85,AJ85/AD85)*100))</f>
        <v/>
      </c>
      <c r="AS85">
        <f>IF(AI85+AJ85=0,0,INT(100/D85))</f>
        <v/>
      </c>
      <c r="AT85">
        <f>IF(AO85="A",100,IF(AO85="B",67,33))</f>
        <v/>
      </c>
      <c r="AU85">
        <f>ROUND(0.40*AQ85+0.30*AR85+0.20*AS85+0.10*AT85,0)</f>
        <v/>
      </c>
      <c r="AV85" t="inlineStr"/>
    </row>
    <row r="86">
      <c r="A86" t="inlineStr">
        <is>
          <t>BD-24536581-00042</t>
        </is>
      </c>
      <c r="B86" t="inlineStr">
        <is>
          <t>2026-04-17</t>
        </is>
      </c>
      <c r="C86" t="inlineStr">
        <is>
          <t>2026-02-08</t>
        </is>
      </c>
      <c r="D86" t="n">
        <v>1</v>
      </c>
      <c r="E86" t="inlineStr">
        <is>
          <t>SKU_0002</t>
        </is>
      </c>
      <c r="F86" t="inlineStr">
        <is>
          <t>DC4</t>
        </is>
      </c>
      <c r="G86" t="inlineStr">
        <is>
          <t>F1</t>
        </is>
      </c>
      <c r="H86" t="inlineStr">
        <is>
          <t>Seattle</t>
        </is>
      </c>
      <c r="I86" t="inlineStr">
        <is>
          <t>Northwest</t>
        </is>
      </c>
      <c r="J86" t="n">
        <v>47.6062</v>
      </c>
      <c r="K86" t="n">
        <v>-122.3321</v>
      </c>
      <c r="L86" t="inlineStr">
        <is>
          <t>DC</t>
        </is>
      </c>
      <c r="M86" t="inlineStr">
        <is>
          <t>Medical Devices &amp; Diagnostics</t>
        </is>
      </c>
      <c r="N86" t="n">
        <v>35</v>
      </c>
      <c r="O86" t="n">
        <v>107</v>
      </c>
      <c r="P86" t="n">
        <v>0</v>
      </c>
      <c r="Q86" t="n">
        <v>107</v>
      </c>
      <c r="R86" t="n">
        <v>137</v>
      </c>
      <c r="S86" t="n">
        <v>0</v>
      </c>
      <c r="T86" t="n">
        <v>137</v>
      </c>
      <c r="U86" t="n">
        <v>0</v>
      </c>
      <c r="V86" t="n">
        <v>65</v>
      </c>
      <c r="W86" t="n">
        <v>4.3</v>
      </c>
      <c r="X86" t="n">
        <v>3</v>
      </c>
      <c r="Y86" t="n">
        <v>28</v>
      </c>
      <c r="Z86" t="n">
        <v>458</v>
      </c>
      <c r="AA86" t="n">
        <v>21</v>
      </c>
      <c r="AB86" t="n">
        <v>344</v>
      </c>
      <c r="AC86" t="n">
        <v>90</v>
      </c>
      <c r="AD86" t="n">
        <v>1476</v>
      </c>
      <c r="AE86" t="n">
        <v>458</v>
      </c>
      <c r="AF86" t="n">
        <v>1476</v>
      </c>
      <c r="AG86" t="n">
        <v>14</v>
      </c>
      <c r="AH86" t="n">
        <v>0</v>
      </c>
      <c r="AI86" t="n">
        <v>393</v>
      </c>
      <c r="AJ86" t="n">
        <v>0</v>
      </c>
      <c r="AK86" t="inlineStr">
        <is>
          <t>MDS</t>
        </is>
      </c>
      <c r="AL86" t="inlineStr">
        <is>
          <t>High MSTN</t>
        </is>
      </c>
      <c r="AM86" t="inlineStr">
        <is>
          <t>P1</t>
        </is>
      </c>
      <c r="AN86" t="inlineStr">
        <is>
          <t>Critical Stockout</t>
        </is>
      </c>
      <c r="AO86" t="inlineStr">
        <is>
          <t>A</t>
        </is>
      </c>
      <c r="AP86" t="inlineStr"/>
      <c r="AQ86">
        <f>IF(AM86="P1",100,IF(AM86="P2",67,IF(AM86="P3",33,0)))</f>
        <v/>
      </c>
      <c r="AR86">
        <f>MIN(100,INT(IF(AI86&gt;0,AI86/Z86,AJ86/AD86)*100))</f>
        <v/>
      </c>
      <c r="AS86">
        <f>IF(AI86+AJ86=0,0,INT(100/D86))</f>
        <v/>
      </c>
      <c r="AT86">
        <f>IF(AO86="A",100,IF(AO86="B",67,33))</f>
        <v/>
      </c>
      <c r="AU86">
        <f>ROUND(0.40*AQ86+0.30*AR86+0.20*AS86+0.10*AT86,0)</f>
        <v/>
      </c>
      <c r="AV86" t="inlineStr">
        <is>
          <t>Opening inventory of 35 and supply of 0 are insufficient to cover the demand of 107, leading to a projected stockout of 72 units and a breach of the 458 unit safety stock target by 530 units.</t>
        </is>
      </c>
    </row>
    <row r="87">
      <c r="A87" t="inlineStr">
        <is>
          <t>BD-24536581-00043</t>
        </is>
      </c>
      <c r="B87" t="inlineStr">
        <is>
          <t>2026-04-17</t>
        </is>
      </c>
      <c r="C87" t="inlineStr">
        <is>
          <t>2026-02-15</t>
        </is>
      </c>
      <c r="D87" t="n">
        <v>2</v>
      </c>
      <c r="E87" t="inlineStr">
        <is>
          <t>SKU_0002</t>
        </is>
      </c>
      <c r="F87" t="inlineStr">
        <is>
          <t>DC4</t>
        </is>
      </c>
      <c r="G87" t="inlineStr">
        <is>
          <t>F1</t>
        </is>
      </c>
      <c r="H87" t="inlineStr">
        <is>
          <t>Seattle</t>
        </is>
      </c>
      <c r="I87" t="inlineStr">
        <is>
          <t>Northwest</t>
        </is>
      </c>
      <c r="J87" t="n">
        <v>47.6062</v>
      </c>
      <c r="K87" t="n">
        <v>-122.3321</v>
      </c>
      <c r="L87" t="inlineStr">
        <is>
          <t>DC</t>
        </is>
      </c>
      <c r="M87" t="inlineStr">
        <is>
          <t>Medical Devices &amp; Diagnostics</t>
        </is>
      </c>
      <c r="N87" t="n">
        <v>65</v>
      </c>
      <c r="O87" t="n">
        <v>189</v>
      </c>
      <c r="P87" t="n">
        <v>0</v>
      </c>
      <c r="Q87" t="n">
        <v>189</v>
      </c>
      <c r="R87" t="n">
        <v>0</v>
      </c>
      <c r="S87" t="n">
        <v>336</v>
      </c>
      <c r="T87" t="n">
        <v>336</v>
      </c>
      <c r="U87" t="n">
        <v>0</v>
      </c>
      <c r="V87" t="n">
        <v>212</v>
      </c>
      <c r="W87" t="n">
        <v>7.9</v>
      </c>
      <c r="X87" t="n">
        <v>3</v>
      </c>
      <c r="Y87" t="n">
        <v>28</v>
      </c>
      <c r="Z87" t="n">
        <v>458</v>
      </c>
      <c r="AA87" t="n">
        <v>21</v>
      </c>
      <c r="AB87" t="n">
        <v>344</v>
      </c>
      <c r="AC87" t="n">
        <v>90</v>
      </c>
      <c r="AD87" t="n">
        <v>1476</v>
      </c>
      <c r="AE87" t="n">
        <v>458</v>
      </c>
      <c r="AF87" t="n">
        <v>1476</v>
      </c>
      <c r="AG87" t="n">
        <v>46</v>
      </c>
      <c r="AH87" t="n">
        <v>0</v>
      </c>
      <c r="AI87" t="n">
        <v>246</v>
      </c>
      <c r="AJ87" t="n">
        <v>0</v>
      </c>
      <c r="AK87" t="inlineStr">
        <is>
          <t>MDS</t>
        </is>
      </c>
      <c r="AL87" t="inlineStr">
        <is>
          <t>High MSTN</t>
        </is>
      </c>
      <c r="AM87" t="inlineStr">
        <is>
          <t>P1</t>
        </is>
      </c>
      <c r="AN87" t="inlineStr">
        <is>
          <t>Critical Stockout</t>
        </is>
      </c>
      <c r="AO87" t="inlineStr">
        <is>
          <t>A</t>
        </is>
      </c>
      <c r="AP87" t="inlineStr"/>
      <c r="AQ87">
        <f>IF(AM87="P1",100,IF(AM87="P2",67,IF(AM87="P3",33,0)))</f>
        <v/>
      </c>
      <c r="AR87">
        <f>MIN(100,INT(IF(AI87&gt;0,AI87/Z87,AJ87/AD87)*100))</f>
        <v/>
      </c>
      <c r="AS87">
        <f>IF(AI87+AJ87=0,0,INT(100/D87))</f>
        <v/>
      </c>
      <c r="AT87">
        <f>IF(AO87="A",100,IF(AO87="B",67,33))</f>
        <v/>
      </c>
      <c r="AU87">
        <f>ROUND(0.40*AQ87+0.30*AR87+0.20*AS87+0.10*AT87,0)</f>
        <v/>
      </c>
      <c r="AV87" t="inlineStr">
        <is>
          <t>Opening inventory of 65 and supply of 336 are sufficient to cover the demand of 189. However, the projected closing inventory of 212 falls 246 units below the target safety stock requirement of 458, compromising the critical service level buffer.</t>
        </is>
      </c>
    </row>
    <row r="88">
      <c r="A88" t="inlineStr">
        <is>
          <t>BD-24536581-00044</t>
        </is>
      </c>
      <c r="B88" t="inlineStr">
        <is>
          <t>2026-04-17</t>
        </is>
      </c>
      <c r="C88" t="inlineStr">
        <is>
          <t>2026-02-22</t>
        </is>
      </c>
      <c r="D88" t="n">
        <v>3</v>
      </c>
      <c r="E88" t="inlineStr">
        <is>
          <t>SKU_0002</t>
        </is>
      </c>
      <c r="F88" t="inlineStr">
        <is>
          <t>DC4</t>
        </is>
      </c>
      <c r="G88" t="inlineStr">
        <is>
          <t>F1</t>
        </is>
      </c>
      <c r="H88" t="inlineStr">
        <is>
          <t>Seattle</t>
        </is>
      </c>
      <c r="I88" t="inlineStr">
        <is>
          <t>Northwest</t>
        </is>
      </c>
      <c r="J88" t="n">
        <v>47.6062</v>
      </c>
      <c r="K88" t="n">
        <v>-122.3321</v>
      </c>
      <c r="L88" t="inlineStr">
        <is>
          <t>DC</t>
        </is>
      </c>
      <c r="M88" t="inlineStr">
        <is>
          <t>Medical Devices &amp; Diagnostics</t>
        </is>
      </c>
      <c r="N88" t="n">
        <v>212</v>
      </c>
      <c r="O88" t="n">
        <v>105</v>
      </c>
      <c r="P88" t="n">
        <v>0</v>
      </c>
      <c r="Q88" t="n">
        <v>105</v>
      </c>
      <c r="R88" t="n">
        <v>0</v>
      </c>
      <c r="S88" t="n">
        <v>0</v>
      </c>
      <c r="T88" t="n">
        <v>0</v>
      </c>
      <c r="U88" t="n">
        <v>0</v>
      </c>
      <c r="V88" t="n">
        <v>107</v>
      </c>
      <c r="W88" t="n">
        <v>7.1</v>
      </c>
      <c r="X88" t="n">
        <v>3</v>
      </c>
      <c r="Y88" t="n">
        <v>28</v>
      </c>
      <c r="Z88" t="n">
        <v>458</v>
      </c>
      <c r="AA88" t="n">
        <v>21</v>
      </c>
      <c r="AB88" t="n">
        <v>344</v>
      </c>
      <c r="AC88" t="n">
        <v>90</v>
      </c>
      <c r="AD88" t="n">
        <v>1476</v>
      </c>
      <c r="AE88" t="n">
        <v>458</v>
      </c>
      <c r="AF88" t="n">
        <v>1476</v>
      </c>
      <c r="AG88" t="n">
        <v>23</v>
      </c>
      <c r="AH88" t="n">
        <v>0</v>
      </c>
      <c r="AI88" t="n">
        <v>351</v>
      </c>
      <c r="AJ88" t="n">
        <v>0</v>
      </c>
      <c r="AK88" t="inlineStr">
        <is>
          <t>MDS</t>
        </is>
      </c>
      <c r="AL88" t="inlineStr">
        <is>
          <t>High MSTN</t>
        </is>
      </c>
      <c r="AM88" t="inlineStr">
        <is>
          <t>P1</t>
        </is>
      </c>
      <c r="AN88" t="inlineStr">
        <is>
          <t>Critical Stockout</t>
        </is>
      </c>
      <c r="AO88" t="inlineStr">
        <is>
          <t>A</t>
        </is>
      </c>
      <c r="AP88" t="inlineStr"/>
      <c r="AQ88">
        <f>IF(AM88="P1",100,IF(AM88="P2",67,IF(AM88="P3",33,0)))</f>
        <v/>
      </c>
      <c r="AR88">
        <f>MIN(100,INT(IF(AI88&gt;0,AI88/Z88,AJ88/AD88)*100))</f>
        <v/>
      </c>
      <c r="AS88">
        <f>IF(AI88+AJ88=0,0,INT(100/D88))</f>
        <v/>
      </c>
      <c r="AT88">
        <f>IF(AO88="A",100,IF(AO88="B",67,33))</f>
        <v/>
      </c>
      <c r="AU88">
        <f>ROUND(0.40*AQ88+0.30*AR88+0.20*AS88+0.10*AT88,0)</f>
        <v/>
      </c>
      <c r="AV88" t="inlineStr">
        <is>
          <t>Opening inventory of 212 and supply of 0 are sufficient to cover the demand of 105. However, the projected closing inventory of 107 falls 351 units below the target safety stock requirement of 458, compromising the critical service level buffer.</t>
        </is>
      </c>
    </row>
    <row r="89">
      <c r="A89" t="inlineStr">
        <is>
          <t>BD-24536581-00045</t>
        </is>
      </c>
      <c r="B89" t="inlineStr">
        <is>
          <t>2026-04-17</t>
        </is>
      </c>
      <c r="C89" t="inlineStr">
        <is>
          <t>2026-03-01</t>
        </is>
      </c>
      <c r="D89" t="n">
        <v>4</v>
      </c>
      <c r="E89" t="inlineStr">
        <is>
          <t>SKU_0002</t>
        </is>
      </c>
      <c r="F89" t="inlineStr">
        <is>
          <t>DC4</t>
        </is>
      </c>
      <c r="G89" t="inlineStr">
        <is>
          <t>F1</t>
        </is>
      </c>
      <c r="H89" t="inlineStr">
        <is>
          <t>Seattle</t>
        </is>
      </c>
      <c r="I89" t="inlineStr">
        <is>
          <t>Northwest</t>
        </is>
      </c>
      <c r="J89" t="n">
        <v>47.6062</v>
      </c>
      <c r="K89" t="n">
        <v>-122.3321</v>
      </c>
      <c r="L89" t="inlineStr">
        <is>
          <t>DC</t>
        </is>
      </c>
      <c r="M89" t="inlineStr">
        <is>
          <t>Medical Devices &amp; Diagnostics</t>
        </is>
      </c>
      <c r="N89" t="n">
        <v>107</v>
      </c>
      <c r="O89" t="n">
        <v>137</v>
      </c>
      <c r="P89" t="n">
        <v>0</v>
      </c>
      <c r="Q89" t="n">
        <v>137</v>
      </c>
      <c r="R89" t="n">
        <v>0</v>
      </c>
      <c r="S89" t="n">
        <v>0</v>
      </c>
      <c r="T89" t="n">
        <v>0</v>
      </c>
      <c r="U89" t="n">
        <v>30</v>
      </c>
      <c r="V89" t="n">
        <v>0</v>
      </c>
      <c r="W89" t="n">
        <v>0</v>
      </c>
      <c r="X89" t="n">
        <v>3</v>
      </c>
      <c r="Y89" t="n">
        <v>28</v>
      </c>
      <c r="Z89" t="n">
        <v>458</v>
      </c>
      <c r="AA89" t="n">
        <v>21</v>
      </c>
      <c r="AB89" t="n">
        <v>344</v>
      </c>
      <c r="AC89" t="n">
        <v>90</v>
      </c>
      <c r="AD89" t="n">
        <v>1476</v>
      </c>
      <c r="AE89" t="n">
        <v>458</v>
      </c>
      <c r="AF89" t="n">
        <v>1476</v>
      </c>
      <c r="AG89" t="n">
        <v>0</v>
      </c>
      <c r="AH89" t="n">
        <v>0</v>
      </c>
      <c r="AI89" t="n">
        <v>488</v>
      </c>
      <c r="AJ89" t="n">
        <v>0</v>
      </c>
      <c r="AK89" t="inlineStr">
        <is>
          <t>MDS</t>
        </is>
      </c>
      <c r="AL89" t="inlineStr">
        <is>
          <t>Critical MSTN</t>
        </is>
      </c>
      <c r="AM89" t="inlineStr">
        <is>
          <t>P1</t>
        </is>
      </c>
      <c r="AN89" t="inlineStr">
        <is>
          <t>Critical Stockout</t>
        </is>
      </c>
      <c r="AO89" t="inlineStr">
        <is>
          <t>A</t>
        </is>
      </c>
      <c r="AP89" t="inlineStr"/>
      <c r="AQ89">
        <f>IF(AM89="P1",100,IF(AM89="P2",67,IF(AM89="P3",33,0)))</f>
        <v/>
      </c>
      <c r="AR89">
        <f>MIN(100,INT(IF(AI89&gt;0,AI89/Z89,AJ89/AD89)*100))</f>
        <v/>
      </c>
      <c r="AS89">
        <f>IF(AI89+AJ89=0,0,INT(100/D89))</f>
        <v/>
      </c>
      <c r="AT89">
        <f>IF(AO89="A",100,IF(AO89="B",67,33))</f>
        <v/>
      </c>
      <c r="AU89">
        <f>ROUND(0.40*AQ89+0.30*AR89+0.20*AS89+0.10*AT89,0)</f>
        <v/>
      </c>
      <c r="AV89" t="inlineStr">
        <is>
          <t>Opening inventory of 107 and supply of 0 are insufficient to cover the demand of 137, leading to a projected stockout of 30 units and a breach of the 458 unit safety stock target by 488 units.</t>
        </is>
      </c>
    </row>
    <row r="90">
      <c r="A90" t="inlineStr">
        <is>
          <t>BD-24536581-00046</t>
        </is>
      </c>
      <c r="B90" t="inlineStr">
        <is>
          <t>2026-04-17</t>
        </is>
      </c>
      <c r="C90" t="inlineStr">
        <is>
          <t>2026-03-08</t>
        </is>
      </c>
      <c r="D90" t="n">
        <v>5</v>
      </c>
      <c r="E90" t="inlineStr">
        <is>
          <t>SKU_0002</t>
        </is>
      </c>
      <c r="F90" t="inlineStr">
        <is>
          <t>DC4</t>
        </is>
      </c>
      <c r="G90" t="inlineStr">
        <is>
          <t>F1</t>
        </is>
      </c>
      <c r="H90" t="inlineStr">
        <is>
          <t>Seattle</t>
        </is>
      </c>
      <c r="I90" t="inlineStr">
        <is>
          <t>Northwest</t>
        </is>
      </c>
      <c r="J90" t="n">
        <v>47.6062</v>
      </c>
      <c r="K90" t="n">
        <v>-122.3321</v>
      </c>
      <c r="L90" t="inlineStr">
        <is>
          <t>DC</t>
        </is>
      </c>
      <c r="M90" t="inlineStr">
        <is>
          <t>Medical Devices &amp; Diagnostics</t>
        </is>
      </c>
      <c r="N90" t="n">
        <v>0</v>
      </c>
      <c r="O90" t="n">
        <v>140</v>
      </c>
      <c r="P90" t="n">
        <v>30</v>
      </c>
      <c r="Q90" t="n">
        <v>170</v>
      </c>
      <c r="R90" t="n">
        <v>0</v>
      </c>
      <c r="S90" t="n">
        <v>334</v>
      </c>
      <c r="T90" t="n">
        <v>334</v>
      </c>
      <c r="U90" t="n">
        <v>0</v>
      </c>
      <c r="V90" t="n">
        <v>164</v>
      </c>
      <c r="W90" t="n">
        <v>8.199999999999999</v>
      </c>
      <c r="X90" t="n">
        <v>3</v>
      </c>
      <c r="Y90" t="n">
        <v>28</v>
      </c>
      <c r="Z90" t="n">
        <v>458</v>
      </c>
      <c r="AA90" t="n">
        <v>21</v>
      </c>
      <c r="AB90" t="n">
        <v>344</v>
      </c>
      <c r="AC90" t="n">
        <v>90</v>
      </c>
      <c r="AD90" t="n">
        <v>1476</v>
      </c>
      <c r="AE90" t="n">
        <v>458</v>
      </c>
      <c r="AF90" t="n">
        <v>1476</v>
      </c>
      <c r="AG90" t="n">
        <v>35</v>
      </c>
      <c r="AH90" t="n">
        <v>0</v>
      </c>
      <c r="AI90" t="n">
        <v>294</v>
      </c>
      <c r="AJ90" t="n">
        <v>0</v>
      </c>
      <c r="AK90" t="inlineStr">
        <is>
          <t>MDS</t>
        </is>
      </c>
      <c r="AL90" t="inlineStr">
        <is>
          <t>High MSTN</t>
        </is>
      </c>
      <c r="AM90" t="inlineStr">
        <is>
          <t>P2</t>
        </is>
      </c>
      <c r="AN90" t="inlineStr">
        <is>
          <t>At-Risk Stockout</t>
        </is>
      </c>
      <c r="AO90" t="inlineStr">
        <is>
          <t>A</t>
        </is>
      </c>
      <c r="AP90" t="inlineStr"/>
      <c r="AQ90">
        <f>IF(AM90="P1",100,IF(AM90="P2",67,IF(AM90="P3",33,0)))</f>
        <v/>
      </c>
      <c r="AR90">
        <f>MIN(100,INT(IF(AI90&gt;0,AI90/Z90,AJ90/AD90)*100))</f>
        <v/>
      </c>
      <c r="AS90">
        <f>IF(AI90+AJ90=0,0,INT(100/D90))</f>
        <v/>
      </c>
      <c r="AT90">
        <f>IF(AO90="A",100,IF(AO90="B",67,33))</f>
        <v/>
      </c>
      <c r="AU90">
        <f>ROUND(0.40*AQ90+0.30*AR90+0.20*AS90+0.10*AT90,0)</f>
        <v/>
      </c>
      <c r="AV90" t="inlineStr">
        <is>
          <t>Opening inventory of 0 and supply of 334 are sufficient to cover the demand of 140. However, the projected closing inventory of 164 falls 294 units below the target safety stock requirement of 458, compromising the critical service level buffer.</t>
        </is>
      </c>
    </row>
    <row r="91">
      <c r="A91" t="inlineStr">
        <is>
          <t>BD-24536581-00047</t>
        </is>
      </c>
      <c r="B91" t="inlineStr">
        <is>
          <t>2026-04-17</t>
        </is>
      </c>
      <c r="C91" t="inlineStr">
        <is>
          <t>2026-03-15</t>
        </is>
      </c>
      <c r="D91" t="n">
        <v>6</v>
      </c>
      <c r="E91" t="inlineStr">
        <is>
          <t>SKU_0002</t>
        </is>
      </c>
      <c r="F91" t="inlineStr">
        <is>
          <t>DC4</t>
        </is>
      </c>
      <c r="G91" t="inlineStr">
        <is>
          <t>F1</t>
        </is>
      </c>
      <c r="H91" t="inlineStr">
        <is>
          <t>Seattle</t>
        </is>
      </c>
      <c r="I91" t="inlineStr">
        <is>
          <t>Northwest</t>
        </is>
      </c>
      <c r="J91" t="n">
        <v>47.6062</v>
      </c>
      <c r="K91" t="n">
        <v>-122.3321</v>
      </c>
      <c r="L91" t="inlineStr">
        <is>
          <t>DC</t>
        </is>
      </c>
      <c r="M91" t="inlineStr">
        <is>
          <t>Medical Devices &amp; Diagnostics</t>
        </is>
      </c>
      <c r="N91" t="n">
        <v>164</v>
      </c>
      <c r="O91" t="n">
        <v>163</v>
      </c>
      <c r="P91" t="n">
        <v>0</v>
      </c>
      <c r="Q91" t="n">
        <v>163</v>
      </c>
      <c r="R91" t="n">
        <v>327</v>
      </c>
      <c r="S91" t="n">
        <v>0</v>
      </c>
      <c r="T91" t="n">
        <v>327</v>
      </c>
      <c r="U91" t="n">
        <v>0</v>
      </c>
      <c r="V91" t="n">
        <v>328</v>
      </c>
      <c r="W91" t="n">
        <v>14.1</v>
      </c>
      <c r="X91" t="n">
        <v>3</v>
      </c>
      <c r="Y91" t="n">
        <v>28</v>
      </c>
      <c r="Z91" t="n">
        <v>458</v>
      </c>
      <c r="AA91" t="n">
        <v>21</v>
      </c>
      <c r="AB91" t="n">
        <v>344</v>
      </c>
      <c r="AC91" t="n">
        <v>90</v>
      </c>
      <c r="AD91" t="n">
        <v>1476</v>
      </c>
      <c r="AE91" t="n">
        <v>458</v>
      </c>
      <c r="AF91" t="n">
        <v>1476</v>
      </c>
      <c r="AG91" t="n">
        <v>71</v>
      </c>
      <c r="AH91" t="n">
        <v>0</v>
      </c>
      <c r="AI91" t="n">
        <v>130</v>
      </c>
      <c r="AJ91" t="n">
        <v>0</v>
      </c>
      <c r="AK91" t="inlineStr">
        <is>
          <t>MDS</t>
        </is>
      </c>
      <c r="AL91" t="inlineStr">
        <is>
          <t>High MSTN</t>
        </is>
      </c>
      <c r="AM91" t="inlineStr">
        <is>
          <t>P2</t>
        </is>
      </c>
      <c r="AN91" t="inlineStr">
        <is>
          <t>At-Risk Stockout</t>
        </is>
      </c>
      <c r="AO91" t="inlineStr">
        <is>
          <t>A</t>
        </is>
      </c>
      <c r="AP91" t="inlineStr"/>
      <c r="AQ91">
        <f>IF(AM91="P1",100,IF(AM91="P2",67,IF(AM91="P3",33,0)))</f>
        <v/>
      </c>
      <c r="AR91">
        <f>MIN(100,INT(IF(AI91&gt;0,AI91/Z91,AJ91/AD91)*100))</f>
        <v/>
      </c>
      <c r="AS91">
        <f>IF(AI91+AJ91=0,0,INT(100/D91))</f>
        <v/>
      </c>
      <c r="AT91">
        <f>IF(AO91="A",100,IF(AO91="B",67,33))</f>
        <v/>
      </c>
      <c r="AU91">
        <f>ROUND(0.40*AQ91+0.30*AR91+0.20*AS91+0.10*AT91,0)</f>
        <v/>
      </c>
      <c r="AV91" t="inlineStr">
        <is>
          <t>Opening inventory of 164 and supply of 0 are sufficient to cover the demand of 163. However, the projected closing inventory of 328 falls 130 units below the target safety stock requirement of 458, compromising the critical service level buffer.</t>
        </is>
      </c>
    </row>
    <row r="92">
      <c r="A92" t="inlineStr">
        <is>
          <t>BD-24536581-00048</t>
        </is>
      </c>
      <c r="B92" t="inlineStr">
        <is>
          <t>2026-04-17</t>
        </is>
      </c>
      <c r="C92" t="inlineStr">
        <is>
          <t>2026-03-22</t>
        </is>
      </c>
      <c r="D92" t="n">
        <v>7</v>
      </c>
      <c r="E92" t="inlineStr">
        <is>
          <t>SKU_0002</t>
        </is>
      </c>
      <c r="F92" t="inlineStr">
        <is>
          <t>DC4</t>
        </is>
      </c>
      <c r="G92" t="inlineStr">
        <is>
          <t>F1</t>
        </is>
      </c>
      <c r="H92" t="inlineStr">
        <is>
          <t>Seattle</t>
        </is>
      </c>
      <c r="I92" t="inlineStr">
        <is>
          <t>Northwest</t>
        </is>
      </c>
      <c r="J92" t="n">
        <v>47.6062</v>
      </c>
      <c r="K92" t="n">
        <v>-122.3321</v>
      </c>
      <c r="L92" t="inlineStr">
        <is>
          <t>DC</t>
        </is>
      </c>
      <c r="M92" t="inlineStr">
        <is>
          <t>Medical Devices &amp; Diagnostics</t>
        </is>
      </c>
      <c r="N92" t="n">
        <v>328</v>
      </c>
      <c r="O92" t="n">
        <v>156</v>
      </c>
      <c r="P92" t="n">
        <v>0</v>
      </c>
      <c r="Q92" t="n">
        <v>156</v>
      </c>
      <c r="R92" t="n">
        <v>0</v>
      </c>
      <c r="S92" t="n">
        <v>0</v>
      </c>
      <c r="T92" t="n">
        <v>0</v>
      </c>
      <c r="U92" t="n">
        <v>0</v>
      </c>
      <c r="V92" t="n">
        <v>172</v>
      </c>
      <c r="W92" t="n">
        <v>7.7</v>
      </c>
      <c r="X92" t="n">
        <v>3</v>
      </c>
      <c r="Y92" t="n">
        <v>28</v>
      </c>
      <c r="Z92" t="n">
        <v>458</v>
      </c>
      <c r="AA92" t="n">
        <v>21</v>
      </c>
      <c r="AB92" t="n">
        <v>344</v>
      </c>
      <c r="AC92" t="n">
        <v>90</v>
      </c>
      <c r="AD92" t="n">
        <v>1476</v>
      </c>
      <c r="AE92" t="n">
        <v>458</v>
      </c>
      <c r="AF92" t="n">
        <v>1476</v>
      </c>
      <c r="AG92" t="n">
        <v>37</v>
      </c>
      <c r="AH92" t="n">
        <v>0</v>
      </c>
      <c r="AI92" t="n">
        <v>286</v>
      </c>
      <c r="AJ92" t="n">
        <v>0</v>
      </c>
      <c r="AK92" t="inlineStr">
        <is>
          <t>MDS</t>
        </is>
      </c>
      <c r="AL92" t="inlineStr">
        <is>
          <t>High MSTN</t>
        </is>
      </c>
      <c r="AM92" t="inlineStr">
        <is>
          <t>P2</t>
        </is>
      </c>
      <c r="AN92" t="inlineStr">
        <is>
          <t>At-Risk Stockout</t>
        </is>
      </c>
      <c r="AO92" t="inlineStr">
        <is>
          <t>A</t>
        </is>
      </c>
      <c r="AP92" t="inlineStr"/>
      <c r="AQ92">
        <f>IF(AM92="P1",100,IF(AM92="P2",67,IF(AM92="P3",33,0)))</f>
        <v/>
      </c>
      <c r="AR92">
        <f>MIN(100,INT(IF(AI92&gt;0,AI92/Z92,AJ92/AD92)*100))</f>
        <v/>
      </c>
      <c r="AS92">
        <f>IF(AI92+AJ92=0,0,INT(100/D92))</f>
        <v/>
      </c>
      <c r="AT92">
        <f>IF(AO92="A",100,IF(AO92="B",67,33))</f>
        <v/>
      </c>
      <c r="AU92">
        <f>ROUND(0.40*AQ92+0.30*AR92+0.20*AS92+0.10*AT92,0)</f>
        <v/>
      </c>
      <c r="AV92" t="inlineStr">
        <is>
          <t>Opening inventory of 328 and supply of 0 are sufficient to cover the demand of 156. However, the projected closing inventory of 172 falls 286 units below the target safety stock requirement of 458, compromising the critical service level buffer.</t>
        </is>
      </c>
    </row>
    <row r="93">
      <c r="A93" t="inlineStr">
        <is>
          <t>BD-24536581-00049</t>
        </is>
      </c>
      <c r="B93" t="inlineStr">
        <is>
          <t>2026-04-17</t>
        </is>
      </c>
      <c r="C93" t="inlineStr">
        <is>
          <t>2026-03-29</t>
        </is>
      </c>
      <c r="D93" t="n">
        <v>8</v>
      </c>
      <c r="E93" t="inlineStr">
        <is>
          <t>SKU_0002</t>
        </is>
      </c>
      <c r="F93" t="inlineStr">
        <is>
          <t>DC4</t>
        </is>
      </c>
      <c r="G93" t="inlineStr">
        <is>
          <t>F1</t>
        </is>
      </c>
      <c r="H93" t="inlineStr">
        <is>
          <t>Seattle</t>
        </is>
      </c>
      <c r="I93" t="inlineStr">
        <is>
          <t>Northwest</t>
        </is>
      </c>
      <c r="J93" t="n">
        <v>47.6062</v>
      </c>
      <c r="K93" t="n">
        <v>-122.3321</v>
      </c>
      <c r="L93" t="inlineStr">
        <is>
          <t>DC</t>
        </is>
      </c>
      <c r="M93" t="inlineStr">
        <is>
          <t>Medical Devices &amp; Diagnostics</t>
        </is>
      </c>
      <c r="N93" t="n">
        <v>172</v>
      </c>
      <c r="O93" t="n">
        <v>123</v>
      </c>
      <c r="P93" t="n">
        <v>0</v>
      </c>
      <c r="Q93" t="n">
        <v>123</v>
      </c>
      <c r="R93" t="n">
        <v>0</v>
      </c>
      <c r="S93" t="n">
        <v>0</v>
      </c>
      <c r="T93" t="n">
        <v>0</v>
      </c>
      <c r="U93" t="n">
        <v>0</v>
      </c>
      <c r="V93" t="n">
        <v>49</v>
      </c>
      <c r="W93" t="n">
        <v>2.8</v>
      </c>
      <c r="X93" t="n">
        <v>3</v>
      </c>
      <c r="Y93" t="n">
        <v>28</v>
      </c>
      <c r="Z93" t="n">
        <v>458</v>
      </c>
      <c r="AA93" t="n">
        <v>21</v>
      </c>
      <c r="AB93" t="n">
        <v>344</v>
      </c>
      <c r="AC93" t="n">
        <v>90</v>
      </c>
      <c r="AD93" t="n">
        <v>1476</v>
      </c>
      <c r="AE93" t="n">
        <v>458</v>
      </c>
      <c r="AF93" t="n">
        <v>1476</v>
      </c>
      <c r="AG93" t="n">
        <v>10</v>
      </c>
      <c r="AH93" t="n">
        <v>0</v>
      </c>
      <c r="AI93" t="n">
        <v>409</v>
      </c>
      <c r="AJ93" t="n">
        <v>0</v>
      </c>
      <c r="AK93" t="inlineStr">
        <is>
          <t>MDS</t>
        </is>
      </c>
      <c r="AL93" t="inlineStr">
        <is>
          <t>High MSTN</t>
        </is>
      </c>
      <c r="AM93" t="inlineStr">
        <is>
          <t>P2</t>
        </is>
      </c>
      <c r="AN93" t="inlineStr">
        <is>
          <t>At-Risk Stockout</t>
        </is>
      </c>
      <c r="AO93" t="inlineStr">
        <is>
          <t>A</t>
        </is>
      </c>
      <c r="AP93" t="inlineStr"/>
      <c r="AQ93">
        <f>IF(AM93="P1",100,IF(AM93="P2",67,IF(AM93="P3",33,0)))</f>
        <v/>
      </c>
      <c r="AR93">
        <f>MIN(100,INT(IF(AI93&gt;0,AI93/Z93,AJ93/AD93)*100))</f>
        <v/>
      </c>
      <c r="AS93">
        <f>IF(AI93+AJ93=0,0,INT(100/D93))</f>
        <v/>
      </c>
      <c r="AT93">
        <f>IF(AO93="A",100,IF(AO93="B",67,33))</f>
        <v/>
      </c>
      <c r="AU93">
        <f>ROUND(0.40*AQ93+0.30*AR93+0.20*AS93+0.10*AT93,0)</f>
        <v/>
      </c>
      <c r="AV93" t="inlineStr">
        <is>
          <t>Opening inventory of 172 and supply of 0 are sufficient to cover the demand of 123. However, the projected closing inventory of 49 falls 409 units below the target safety stock requirement of 458, compromising the critical service level buffer.</t>
        </is>
      </c>
    </row>
    <row r="94">
      <c r="A94" t="inlineStr">
        <is>
          <t>BD-24536581-00050</t>
        </is>
      </c>
      <c r="B94" t="inlineStr">
        <is>
          <t>2026-04-17</t>
        </is>
      </c>
      <c r="C94" t="inlineStr">
        <is>
          <t>2026-04-05</t>
        </is>
      </c>
      <c r="D94" t="n">
        <v>9</v>
      </c>
      <c r="E94" t="inlineStr">
        <is>
          <t>SKU_0002</t>
        </is>
      </c>
      <c r="F94" t="inlineStr">
        <is>
          <t>DC4</t>
        </is>
      </c>
      <c r="G94" t="inlineStr">
        <is>
          <t>F1</t>
        </is>
      </c>
      <c r="H94" t="inlineStr">
        <is>
          <t>Seattle</t>
        </is>
      </c>
      <c r="I94" t="inlineStr">
        <is>
          <t>Northwest</t>
        </is>
      </c>
      <c r="J94" t="n">
        <v>47.6062</v>
      </c>
      <c r="K94" t="n">
        <v>-122.3321</v>
      </c>
      <c r="L94" t="inlineStr">
        <is>
          <t>DC</t>
        </is>
      </c>
      <c r="M94" t="inlineStr">
        <is>
          <t>Medical Devices &amp; Diagnostics</t>
        </is>
      </c>
      <c r="N94" t="n">
        <v>49</v>
      </c>
      <c r="O94" t="n">
        <v>108</v>
      </c>
      <c r="P94" t="n">
        <v>0</v>
      </c>
      <c r="Q94" t="n">
        <v>108</v>
      </c>
      <c r="R94" t="n">
        <v>0</v>
      </c>
      <c r="S94" t="n">
        <v>239</v>
      </c>
      <c r="T94" t="n">
        <v>239</v>
      </c>
      <c r="U94" t="n">
        <v>0</v>
      </c>
      <c r="V94" t="n">
        <v>180</v>
      </c>
      <c r="W94" t="n">
        <v>11.7</v>
      </c>
      <c r="X94" t="n">
        <v>3</v>
      </c>
      <c r="Y94" t="n">
        <v>28</v>
      </c>
      <c r="Z94" t="n">
        <v>458</v>
      </c>
      <c r="AA94" t="n">
        <v>21</v>
      </c>
      <c r="AB94" t="n">
        <v>344</v>
      </c>
      <c r="AC94" t="n">
        <v>90</v>
      </c>
      <c r="AD94" t="n">
        <v>1476</v>
      </c>
      <c r="AE94" t="n">
        <v>458</v>
      </c>
      <c r="AF94" t="n">
        <v>1476</v>
      </c>
      <c r="AG94" t="n">
        <v>39</v>
      </c>
      <c r="AH94" t="n">
        <v>0</v>
      </c>
      <c r="AI94" t="n">
        <v>278</v>
      </c>
      <c r="AJ94" t="n">
        <v>0</v>
      </c>
      <c r="AK94" t="inlineStr">
        <is>
          <t>MDS</t>
        </is>
      </c>
      <c r="AL94" t="inlineStr">
        <is>
          <t>High MSTN</t>
        </is>
      </c>
      <c r="AM94" t="inlineStr">
        <is>
          <t>P2</t>
        </is>
      </c>
      <c r="AN94" t="inlineStr">
        <is>
          <t>At-Risk Stockout</t>
        </is>
      </c>
      <c r="AO94" t="inlineStr">
        <is>
          <t>A</t>
        </is>
      </c>
      <c r="AP94" t="inlineStr"/>
      <c r="AQ94">
        <f>IF(AM94="P1",100,IF(AM94="P2",67,IF(AM94="P3",33,0)))</f>
        <v/>
      </c>
      <c r="AR94">
        <f>MIN(100,INT(IF(AI94&gt;0,AI94/Z94,AJ94/AD94)*100))</f>
        <v/>
      </c>
      <c r="AS94">
        <f>IF(AI94+AJ94=0,0,INT(100/D94))</f>
        <v/>
      </c>
      <c r="AT94">
        <f>IF(AO94="A",100,IF(AO94="B",67,33))</f>
        <v/>
      </c>
      <c r="AU94">
        <f>ROUND(0.40*AQ94+0.30*AR94+0.20*AS94+0.10*AT94,0)</f>
        <v/>
      </c>
      <c r="AV94" t="inlineStr">
        <is>
          <t>Opening inventory of 49 and supply of 239 are sufficient to cover the demand of 108. However, the projected closing inventory of 180 falls 278 units below the target safety stock requirement of 458, compromising the critical service level buffer.</t>
        </is>
      </c>
    </row>
    <row r="95">
      <c r="A95" t="inlineStr">
        <is>
          <t>BD-24536581-00051</t>
        </is>
      </c>
      <c r="B95" t="inlineStr">
        <is>
          <t>2026-04-17</t>
        </is>
      </c>
      <c r="C95" t="inlineStr">
        <is>
          <t>2026-04-12</t>
        </is>
      </c>
      <c r="D95" t="n">
        <v>10</v>
      </c>
      <c r="E95" t="inlineStr">
        <is>
          <t>SKU_0002</t>
        </is>
      </c>
      <c r="F95" t="inlineStr">
        <is>
          <t>DC4</t>
        </is>
      </c>
      <c r="G95" t="inlineStr">
        <is>
          <t>F1</t>
        </is>
      </c>
      <c r="H95" t="inlineStr">
        <is>
          <t>Seattle</t>
        </is>
      </c>
      <c r="I95" t="inlineStr">
        <is>
          <t>Northwest</t>
        </is>
      </c>
      <c r="J95" t="n">
        <v>47.6062</v>
      </c>
      <c r="K95" t="n">
        <v>-122.3321</v>
      </c>
      <c r="L95" t="inlineStr">
        <is>
          <t>DC</t>
        </is>
      </c>
      <c r="M95" t="inlineStr">
        <is>
          <t>Medical Devices &amp; Diagnostics</t>
        </is>
      </c>
      <c r="N95" t="n">
        <v>180</v>
      </c>
      <c r="O95" t="n">
        <v>141</v>
      </c>
      <c r="P95" t="n">
        <v>0</v>
      </c>
      <c r="Q95" t="n">
        <v>141</v>
      </c>
      <c r="R95" t="n">
        <v>232</v>
      </c>
      <c r="S95" t="n">
        <v>0</v>
      </c>
      <c r="T95" t="n">
        <v>232</v>
      </c>
      <c r="U95" t="n">
        <v>0</v>
      </c>
      <c r="V95" t="n">
        <v>271</v>
      </c>
      <c r="W95" t="n">
        <v>13.5</v>
      </c>
      <c r="X95" t="n">
        <v>3</v>
      </c>
      <c r="Y95" t="n">
        <v>28</v>
      </c>
      <c r="Z95" t="n">
        <v>458</v>
      </c>
      <c r="AA95" t="n">
        <v>21</v>
      </c>
      <c r="AB95" t="n">
        <v>344</v>
      </c>
      <c r="AC95" t="n">
        <v>90</v>
      </c>
      <c r="AD95" t="n">
        <v>1476</v>
      </c>
      <c r="AE95" t="n">
        <v>458</v>
      </c>
      <c r="AF95" t="n">
        <v>1476</v>
      </c>
      <c r="AG95" t="n">
        <v>59</v>
      </c>
      <c r="AH95" t="n">
        <v>0</v>
      </c>
      <c r="AI95" t="n">
        <v>187</v>
      </c>
      <c r="AJ95" t="n">
        <v>0</v>
      </c>
      <c r="AK95" t="inlineStr">
        <is>
          <t>MDS</t>
        </is>
      </c>
      <c r="AL95" t="inlineStr">
        <is>
          <t>High MSTN</t>
        </is>
      </c>
      <c r="AM95" t="inlineStr">
        <is>
          <t>P2</t>
        </is>
      </c>
      <c r="AN95" t="inlineStr">
        <is>
          <t>At-Risk Stockout</t>
        </is>
      </c>
      <c r="AO95" t="inlineStr">
        <is>
          <t>A</t>
        </is>
      </c>
      <c r="AP95" t="inlineStr"/>
      <c r="AQ95">
        <f>IF(AM95="P1",100,IF(AM95="P2",67,IF(AM95="P3",33,0)))</f>
        <v/>
      </c>
      <c r="AR95">
        <f>MIN(100,INT(IF(AI95&gt;0,AI95/Z95,AJ95/AD95)*100))</f>
        <v/>
      </c>
      <c r="AS95">
        <f>IF(AI95+AJ95=0,0,INT(100/D95))</f>
        <v/>
      </c>
      <c r="AT95">
        <f>IF(AO95="A",100,IF(AO95="B",67,33))</f>
        <v/>
      </c>
      <c r="AU95">
        <f>ROUND(0.40*AQ95+0.30*AR95+0.20*AS95+0.10*AT95,0)</f>
        <v/>
      </c>
      <c r="AV95" t="inlineStr">
        <is>
          <t>Opening inventory of 180 and supply of 0 are sufficient to cover the demand of 141. However, the projected closing inventory of 271 falls 187 units below the target safety stock requirement of 458, compromising the critical service level buffer.</t>
        </is>
      </c>
    </row>
    <row r="96">
      <c r="A96" t="inlineStr">
        <is>
          <t>BD-24536581-00052</t>
        </is>
      </c>
      <c r="B96" t="inlineStr">
        <is>
          <t>2026-04-17</t>
        </is>
      </c>
      <c r="C96" t="inlineStr">
        <is>
          <t>2026-04-19</t>
        </is>
      </c>
      <c r="D96" t="n">
        <v>11</v>
      </c>
      <c r="E96" t="inlineStr">
        <is>
          <t>SKU_0002</t>
        </is>
      </c>
      <c r="F96" t="inlineStr">
        <is>
          <t>DC4</t>
        </is>
      </c>
      <c r="G96" t="inlineStr">
        <is>
          <t>F1</t>
        </is>
      </c>
      <c r="H96" t="inlineStr">
        <is>
          <t>Seattle</t>
        </is>
      </c>
      <c r="I96" t="inlineStr">
        <is>
          <t>Northwest</t>
        </is>
      </c>
      <c r="J96" t="n">
        <v>47.6062</v>
      </c>
      <c r="K96" t="n">
        <v>-122.3321</v>
      </c>
      <c r="L96" t="inlineStr">
        <is>
          <t>DC</t>
        </is>
      </c>
      <c r="M96" t="inlineStr">
        <is>
          <t>Medical Devices &amp; Diagnostics</t>
        </is>
      </c>
      <c r="N96" t="n">
        <v>271</v>
      </c>
      <c r="O96" t="n">
        <v>124</v>
      </c>
      <c r="P96" t="n">
        <v>0</v>
      </c>
      <c r="Q96" t="n">
        <v>124</v>
      </c>
      <c r="R96" t="n">
        <v>0</v>
      </c>
      <c r="S96" t="n">
        <v>0</v>
      </c>
      <c r="T96" t="n">
        <v>0</v>
      </c>
      <c r="U96" t="n">
        <v>0</v>
      </c>
      <c r="V96" t="n">
        <v>147</v>
      </c>
      <c r="W96" t="n">
        <v>8.300000000000001</v>
      </c>
      <c r="X96" t="n">
        <v>3</v>
      </c>
      <c r="Y96" t="n">
        <v>28</v>
      </c>
      <c r="Z96" t="n">
        <v>458</v>
      </c>
      <c r="AA96" t="n">
        <v>21</v>
      </c>
      <c r="AB96" t="n">
        <v>344</v>
      </c>
      <c r="AC96" t="n">
        <v>90</v>
      </c>
      <c r="AD96" t="n">
        <v>1476</v>
      </c>
      <c r="AE96" t="n">
        <v>458</v>
      </c>
      <c r="AF96" t="n">
        <v>1476</v>
      </c>
      <c r="AG96" t="n">
        <v>32</v>
      </c>
      <c r="AH96" t="n">
        <v>0</v>
      </c>
      <c r="AI96" t="n">
        <v>311</v>
      </c>
      <c r="AJ96" t="n">
        <v>0</v>
      </c>
      <c r="AK96" t="inlineStr">
        <is>
          <t>MDS</t>
        </is>
      </c>
      <c r="AL96" t="inlineStr">
        <is>
          <t>High MSTN</t>
        </is>
      </c>
      <c r="AM96" t="inlineStr">
        <is>
          <t>P2</t>
        </is>
      </c>
      <c r="AN96" t="inlineStr">
        <is>
          <t>At-Risk Stockout</t>
        </is>
      </c>
      <c r="AO96" t="inlineStr">
        <is>
          <t>A</t>
        </is>
      </c>
      <c r="AP96" t="inlineStr"/>
      <c r="AQ96">
        <f>IF(AM96="P1",100,IF(AM96="P2",67,IF(AM96="P3",33,0)))</f>
        <v/>
      </c>
      <c r="AR96">
        <f>MIN(100,INT(IF(AI96&gt;0,AI96/Z96,AJ96/AD96)*100))</f>
        <v/>
      </c>
      <c r="AS96">
        <f>IF(AI96+AJ96=0,0,INT(100/D96))</f>
        <v/>
      </c>
      <c r="AT96">
        <f>IF(AO96="A",100,IF(AO96="B",67,33))</f>
        <v/>
      </c>
      <c r="AU96">
        <f>ROUND(0.40*AQ96+0.30*AR96+0.20*AS96+0.10*AT96,0)</f>
        <v/>
      </c>
      <c r="AV96" t="inlineStr">
        <is>
          <t>Opening inventory of 271 and supply of 0 are sufficient to cover the demand of 124. However, the projected closing inventory of 147 falls 311 units below the target safety stock requirement of 458, compromising the critical service level buffer.</t>
        </is>
      </c>
    </row>
    <row r="97">
      <c r="A97" t="inlineStr">
        <is>
          <t>BD-24536581-00053</t>
        </is>
      </c>
      <c r="B97" t="inlineStr">
        <is>
          <t>2026-04-17</t>
        </is>
      </c>
      <c r="C97" t="inlineStr">
        <is>
          <t>2026-04-26</t>
        </is>
      </c>
      <c r="D97" t="n">
        <v>12</v>
      </c>
      <c r="E97" t="inlineStr">
        <is>
          <t>SKU_0002</t>
        </is>
      </c>
      <c r="F97" t="inlineStr">
        <is>
          <t>DC4</t>
        </is>
      </c>
      <c r="G97" t="inlineStr">
        <is>
          <t>F1</t>
        </is>
      </c>
      <c r="H97" t="inlineStr">
        <is>
          <t>Seattle</t>
        </is>
      </c>
      <c r="I97" t="inlineStr">
        <is>
          <t>Northwest</t>
        </is>
      </c>
      <c r="J97" t="n">
        <v>47.6062</v>
      </c>
      <c r="K97" t="n">
        <v>-122.3321</v>
      </c>
      <c r="L97" t="inlineStr">
        <is>
          <t>DC</t>
        </is>
      </c>
      <c r="M97" t="inlineStr">
        <is>
          <t>Medical Devices &amp; Diagnostics</t>
        </is>
      </c>
      <c r="N97" t="n">
        <v>147</v>
      </c>
      <c r="O97" t="n">
        <v>81</v>
      </c>
      <c r="P97" t="n">
        <v>0</v>
      </c>
      <c r="Q97" t="n">
        <v>81</v>
      </c>
      <c r="R97" t="n">
        <v>0</v>
      </c>
      <c r="S97" t="n">
        <v>327</v>
      </c>
      <c r="T97" t="n">
        <v>327</v>
      </c>
      <c r="U97" t="n">
        <v>0</v>
      </c>
      <c r="V97" t="n">
        <v>393</v>
      </c>
      <c r="W97" t="n">
        <v>34</v>
      </c>
      <c r="X97" t="n">
        <v>3</v>
      </c>
      <c r="Y97" t="n">
        <v>28</v>
      </c>
      <c r="Z97" t="n">
        <v>458</v>
      </c>
      <c r="AA97" t="n">
        <v>21</v>
      </c>
      <c r="AB97" t="n">
        <v>344</v>
      </c>
      <c r="AC97" t="n">
        <v>90</v>
      </c>
      <c r="AD97" t="n">
        <v>1476</v>
      </c>
      <c r="AE97" t="n">
        <v>458</v>
      </c>
      <c r="AF97" t="n">
        <v>1476</v>
      </c>
      <c r="AG97" t="n">
        <v>85</v>
      </c>
      <c r="AH97" t="n">
        <v>0</v>
      </c>
      <c r="AI97" t="n">
        <v>65</v>
      </c>
      <c r="AJ97" t="n">
        <v>0</v>
      </c>
      <c r="AK97" t="inlineStr">
        <is>
          <t>MDS</t>
        </is>
      </c>
      <c r="AL97" t="inlineStr">
        <is>
          <t>Medium MSTN</t>
        </is>
      </c>
      <c r="AM97" t="inlineStr">
        <is>
          <t>P3</t>
        </is>
      </c>
      <c r="AN97" t="inlineStr">
        <is>
          <t>Potential Stockout</t>
        </is>
      </c>
      <c r="AO97" t="inlineStr">
        <is>
          <t>A</t>
        </is>
      </c>
      <c r="AP97" t="inlineStr"/>
      <c r="AQ97">
        <f>IF(AM97="P1",100,IF(AM97="P2",67,IF(AM97="P3",33,0)))</f>
        <v/>
      </c>
      <c r="AR97">
        <f>MIN(100,INT(IF(AI97&gt;0,AI97/Z97,AJ97/AD97)*100))</f>
        <v/>
      </c>
      <c r="AS97">
        <f>IF(AI97+AJ97=0,0,INT(100/D97))</f>
        <v/>
      </c>
      <c r="AT97">
        <f>IF(AO97="A",100,IF(AO97="B",67,33))</f>
        <v/>
      </c>
      <c r="AU97">
        <f>ROUND(0.40*AQ97+0.30*AR97+0.20*AS97+0.10*AT97,0)</f>
        <v/>
      </c>
      <c r="AV97" t="inlineStr">
        <is>
          <t>Opening inventory of 147 and supply of 327 are sufficient to cover the demand of 81. However, the projected closing inventory of 393 falls 65 units below the target safety stock requirement of 458, compromising the critical service level buffer.</t>
        </is>
      </c>
    </row>
    <row r="98">
      <c r="A98" t="inlineStr"/>
      <c r="B98" t="inlineStr">
        <is>
          <t>2026-04-17</t>
        </is>
      </c>
      <c r="C98" t="inlineStr">
        <is>
          <t>2026-02-08</t>
        </is>
      </c>
      <c r="D98" t="n">
        <v>1</v>
      </c>
      <c r="E98" t="inlineStr">
        <is>
          <t>SKU_0002</t>
        </is>
      </c>
      <c r="F98" t="inlineStr">
        <is>
          <t>DC5</t>
        </is>
      </c>
      <c r="G98" t="inlineStr">
        <is>
          <t>F1</t>
        </is>
      </c>
      <c r="H98" t="inlineStr">
        <is>
          <t>Miami</t>
        </is>
      </c>
      <c r="I98" t="inlineStr">
        <is>
          <t>Southeast</t>
        </is>
      </c>
      <c r="J98" t="n">
        <v>25.7617</v>
      </c>
      <c r="K98" t="n">
        <v>-80.1918</v>
      </c>
      <c r="L98" t="inlineStr">
        <is>
          <t>DC</t>
        </is>
      </c>
      <c r="M98" t="inlineStr">
        <is>
          <t>Medical Devices &amp; Diagnostics</t>
        </is>
      </c>
      <c r="N98" t="n">
        <v>408</v>
      </c>
      <c r="O98" t="n">
        <v>36</v>
      </c>
      <c r="P98" t="n">
        <v>0</v>
      </c>
      <c r="Q98" t="n">
        <v>36</v>
      </c>
      <c r="R98" t="n">
        <v>0</v>
      </c>
      <c r="S98" t="n">
        <v>0</v>
      </c>
      <c r="T98" t="n">
        <v>0</v>
      </c>
      <c r="U98" t="n">
        <v>0</v>
      </c>
      <c r="V98" t="n">
        <v>372</v>
      </c>
      <c r="W98" t="n">
        <v>72.3</v>
      </c>
      <c r="X98" t="n">
        <v>3</v>
      </c>
      <c r="Y98" t="n">
        <v>28</v>
      </c>
      <c r="Z98" t="n">
        <v>222</v>
      </c>
      <c r="AA98" t="n">
        <v>21</v>
      </c>
      <c r="AB98" t="n">
        <v>166</v>
      </c>
      <c r="AC98" t="n">
        <v>67</v>
      </c>
      <c r="AD98" t="n">
        <v>530</v>
      </c>
      <c r="AE98" t="n">
        <v>222</v>
      </c>
      <c r="AF98" t="n">
        <v>530</v>
      </c>
      <c r="AG98" t="n">
        <v>100</v>
      </c>
      <c r="AH98" t="n">
        <v>0</v>
      </c>
      <c r="AI98" t="n">
        <v>0</v>
      </c>
      <c r="AJ98" t="n">
        <v>0</v>
      </c>
      <c r="AK98" t="inlineStr">
        <is>
          <t>MDS</t>
        </is>
      </c>
      <c r="AL98" t="inlineStr">
        <is>
          <t>None</t>
        </is>
      </c>
      <c r="AM98" t="inlineStr">
        <is>
          <t>None</t>
        </is>
      </c>
      <c r="AN98" t="inlineStr">
        <is>
          <t>Healthy</t>
        </is>
      </c>
      <c r="AO98" t="inlineStr">
        <is>
          <t>A</t>
        </is>
      </c>
      <c r="AP98" t="inlineStr"/>
      <c r="AQ98">
        <f>IF(AM98="P1",100,IF(AM98="P2",67,IF(AM98="P3",33,0)))</f>
        <v/>
      </c>
      <c r="AR98">
        <f>MIN(100,INT(IF(AI98&gt;0,AI98/Z98,AJ98/AD98)*100))</f>
        <v/>
      </c>
      <c r="AS98">
        <f>IF(AI98+AJ98=0,0,INT(100/D98))</f>
        <v/>
      </c>
      <c r="AT98">
        <f>IF(AO98="A",100,IF(AO98="B",67,33))</f>
        <v/>
      </c>
      <c r="AU98">
        <f>ROUND(0.40*AQ98+0.30*AR98+0.20*AS98+0.10*AT98,0)</f>
        <v/>
      </c>
      <c r="AV98" t="inlineStr"/>
    </row>
    <row r="99">
      <c r="A99" t="inlineStr"/>
      <c r="B99" t="inlineStr">
        <is>
          <t>2026-04-17</t>
        </is>
      </c>
      <c r="C99" t="inlineStr">
        <is>
          <t>2026-02-15</t>
        </is>
      </c>
      <c r="D99" t="n">
        <v>2</v>
      </c>
      <c r="E99" t="inlineStr">
        <is>
          <t>SKU_0002</t>
        </is>
      </c>
      <c r="F99" t="inlineStr">
        <is>
          <t>DC5</t>
        </is>
      </c>
      <c r="G99" t="inlineStr">
        <is>
          <t>F1</t>
        </is>
      </c>
      <c r="H99" t="inlineStr">
        <is>
          <t>Miami</t>
        </is>
      </c>
      <c r="I99" t="inlineStr">
        <is>
          <t>Southeast</t>
        </is>
      </c>
      <c r="J99" t="n">
        <v>25.7617</v>
      </c>
      <c r="K99" t="n">
        <v>-80.1918</v>
      </c>
      <c r="L99" t="inlineStr">
        <is>
          <t>DC</t>
        </is>
      </c>
      <c r="M99" t="inlineStr">
        <is>
          <t>Medical Devices &amp; Diagnostics</t>
        </is>
      </c>
      <c r="N99" t="n">
        <v>372</v>
      </c>
      <c r="O99" t="n">
        <v>67</v>
      </c>
      <c r="P99" t="n">
        <v>0</v>
      </c>
      <c r="Q99" t="n">
        <v>67</v>
      </c>
      <c r="R99" t="n">
        <v>0</v>
      </c>
      <c r="S99" t="n">
        <v>0</v>
      </c>
      <c r="T99" t="n">
        <v>0</v>
      </c>
      <c r="U99" t="n">
        <v>0</v>
      </c>
      <c r="V99" t="n">
        <v>305</v>
      </c>
      <c r="W99" t="n">
        <v>31.9</v>
      </c>
      <c r="X99" t="n">
        <v>3</v>
      </c>
      <c r="Y99" t="n">
        <v>28</v>
      </c>
      <c r="Z99" t="n">
        <v>222</v>
      </c>
      <c r="AA99" t="n">
        <v>21</v>
      </c>
      <c r="AB99" t="n">
        <v>166</v>
      </c>
      <c r="AC99" t="n">
        <v>67</v>
      </c>
      <c r="AD99" t="n">
        <v>530</v>
      </c>
      <c r="AE99" t="n">
        <v>222</v>
      </c>
      <c r="AF99" t="n">
        <v>530</v>
      </c>
      <c r="AG99" t="n">
        <v>100</v>
      </c>
      <c r="AH99" t="n">
        <v>0</v>
      </c>
      <c r="AI99" t="n">
        <v>0</v>
      </c>
      <c r="AJ99" t="n">
        <v>0</v>
      </c>
      <c r="AK99" t="inlineStr">
        <is>
          <t>MDS</t>
        </is>
      </c>
      <c r="AL99" t="inlineStr">
        <is>
          <t>None</t>
        </is>
      </c>
      <c r="AM99" t="inlineStr">
        <is>
          <t>None</t>
        </is>
      </c>
      <c r="AN99" t="inlineStr">
        <is>
          <t>Healthy</t>
        </is>
      </c>
      <c r="AO99" t="inlineStr">
        <is>
          <t>A</t>
        </is>
      </c>
      <c r="AP99" t="inlineStr"/>
      <c r="AQ99">
        <f>IF(AM99="P1",100,IF(AM99="P2",67,IF(AM99="P3",33,0)))</f>
        <v/>
      </c>
      <c r="AR99">
        <f>MIN(100,INT(IF(AI99&gt;0,AI99/Z99,AJ99/AD99)*100))</f>
        <v/>
      </c>
      <c r="AS99">
        <f>IF(AI99+AJ99=0,0,INT(100/D99))</f>
        <v/>
      </c>
      <c r="AT99">
        <f>IF(AO99="A",100,IF(AO99="B",67,33))</f>
        <v/>
      </c>
      <c r="AU99">
        <f>ROUND(0.40*AQ99+0.30*AR99+0.20*AS99+0.10*AT99,0)</f>
        <v/>
      </c>
      <c r="AV99" t="inlineStr"/>
    </row>
    <row r="100">
      <c r="A100" t="inlineStr"/>
      <c r="B100" t="inlineStr">
        <is>
          <t>2026-04-17</t>
        </is>
      </c>
      <c r="C100" t="inlineStr">
        <is>
          <t>2026-02-22</t>
        </is>
      </c>
      <c r="D100" t="n">
        <v>3</v>
      </c>
      <c r="E100" t="inlineStr">
        <is>
          <t>SKU_0002</t>
        </is>
      </c>
      <c r="F100" t="inlineStr">
        <is>
          <t>DC5</t>
        </is>
      </c>
      <c r="G100" t="inlineStr">
        <is>
          <t>F1</t>
        </is>
      </c>
      <c r="H100" t="inlineStr">
        <is>
          <t>Miami</t>
        </is>
      </c>
      <c r="I100" t="inlineStr">
        <is>
          <t>Southeast</t>
        </is>
      </c>
      <c r="J100" t="n">
        <v>25.7617</v>
      </c>
      <c r="K100" t="n">
        <v>-80.1918</v>
      </c>
      <c r="L100" t="inlineStr">
        <is>
          <t>DC</t>
        </is>
      </c>
      <c r="M100" t="inlineStr">
        <is>
          <t>Medical Devices &amp; Diagnostics</t>
        </is>
      </c>
      <c r="N100" t="n">
        <v>305</v>
      </c>
      <c r="O100" t="n">
        <v>46</v>
      </c>
      <c r="P100" t="n">
        <v>0</v>
      </c>
      <c r="Q100" t="n">
        <v>46</v>
      </c>
      <c r="R100" t="n">
        <v>100</v>
      </c>
      <c r="S100" t="n">
        <v>0</v>
      </c>
      <c r="T100" t="n">
        <v>100</v>
      </c>
      <c r="U100" t="n">
        <v>0</v>
      </c>
      <c r="V100" t="n">
        <v>359</v>
      </c>
      <c r="W100" t="n">
        <v>54.6</v>
      </c>
      <c r="X100" t="n">
        <v>3</v>
      </c>
      <c r="Y100" t="n">
        <v>28</v>
      </c>
      <c r="Z100" t="n">
        <v>222</v>
      </c>
      <c r="AA100" t="n">
        <v>21</v>
      </c>
      <c r="AB100" t="n">
        <v>166</v>
      </c>
      <c r="AC100" t="n">
        <v>67</v>
      </c>
      <c r="AD100" t="n">
        <v>530</v>
      </c>
      <c r="AE100" t="n">
        <v>222</v>
      </c>
      <c r="AF100" t="n">
        <v>530</v>
      </c>
      <c r="AG100" t="n">
        <v>100</v>
      </c>
      <c r="AH100" t="n">
        <v>0</v>
      </c>
      <c r="AI100" t="n">
        <v>0</v>
      </c>
      <c r="AJ100" t="n">
        <v>0</v>
      </c>
      <c r="AK100" t="inlineStr">
        <is>
          <t>MDS</t>
        </is>
      </c>
      <c r="AL100" t="inlineStr">
        <is>
          <t>None</t>
        </is>
      </c>
      <c r="AM100" t="inlineStr">
        <is>
          <t>None</t>
        </is>
      </c>
      <c r="AN100" t="inlineStr">
        <is>
          <t>Healthy</t>
        </is>
      </c>
      <c r="AO100" t="inlineStr">
        <is>
          <t>A</t>
        </is>
      </c>
      <c r="AP100" t="inlineStr"/>
      <c r="AQ100">
        <f>IF(AM100="P1",100,IF(AM100="P2",67,IF(AM100="P3",33,0)))</f>
        <v/>
      </c>
      <c r="AR100">
        <f>MIN(100,INT(IF(AI100&gt;0,AI100/Z100,AJ100/AD100)*100))</f>
        <v/>
      </c>
      <c r="AS100">
        <f>IF(AI100+AJ100=0,0,INT(100/D100))</f>
        <v/>
      </c>
      <c r="AT100">
        <f>IF(AO100="A",100,IF(AO100="B",67,33))</f>
        <v/>
      </c>
      <c r="AU100">
        <f>ROUND(0.40*AQ100+0.30*AR100+0.20*AS100+0.10*AT100,0)</f>
        <v/>
      </c>
      <c r="AV100" t="inlineStr"/>
    </row>
    <row r="101">
      <c r="A101" t="inlineStr"/>
      <c r="B101" t="inlineStr">
        <is>
          <t>2026-04-17</t>
        </is>
      </c>
      <c r="C101" t="inlineStr">
        <is>
          <t>2026-03-01</t>
        </is>
      </c>
      <c r="D101" t="n">
        <v>4</v>
      </c>
      <c r="E101" t="inlineStr">
        <is>
          <t>SKU_0002</t>
        </is>
      </c>
      <c r="F101" t="inlineStr">
        <is>
          <t>DC5</t>
        </is>
      </c>
      <c r="G101" t="inlineStr">
        <is>
          <t>F1</t>
        </is>
      </c>
      <c r="H101" t="inlineStr">
        <is>
          <t>Miami</t>
        </is>
      </c>
      <c r="I101" t="inlineStr">
        <is>
          <t>Southeast</t>
        </is>
      </c>
      <c r="J101" t="n">
        <v>25.7617</v>
      </c>
      <c r="K101" t="n">
        <v>-80.1918</v>
      </c>
      <c r="L101" t="inlineStr">
        <is>
          <t>DC</t>
        </is>
      </c>
      <c r="M101" t="inlineStr">
        <is>
          <t>Medical Devices &amp; Diagnostics</t>
        </is>
      </c>
      <c r="N101" t="n">
        <v>359</v>
      </c>
      <c r="O101" t="n">
        <v>42</v>
      </c>
      <c r="P101" t="n">
        <v>0</v>
      </c>
      <c r="Q101" t="n">
        <v>42</v>
      </c>
      <c r="R101" t="n">
        <v>0</v>
      </c>
      <c r="S101" t="n">
        <v>0</v>
      </c>
      <c r="T101" t="n">
        <v>0</v>
      </c>
      <c r="U101" t="n">
        <v>0</v>
      </c>
      <c r="V101" t="n">
        <v>317</v>
      </c>
      <c r="W101" t="n">
        <v>52.8</v>
      </c>
      <c r="X101" t="n">
        <v>3</v>
      </c>
      <c r="Y101" t="n">
        <v>28</v>
      </c>
      <c r="Z101" t="n">
        <v>222</v>
      </c>
      <c r="AA101" t="n">
        <v>21</v>
      </c>
      <c r="AB101" t="n">
        <v>166</v>
      </c>
      <c r="AC101" t="n">
        <v>67</v>
      </c>
      <c r="AD101" t="n">
        <v>530</v>
      </c>
      <c r="AE101" t="n">
        <v>222</v>
      </c>
      <c r="AF101" t="n">
        <v>530</v>
      </c>
      <c r="AG101" t="n">
        <v>100</v>
      </c>
      <c r="AH101" t="n">
        <v>0</v>
      </c>
      <c r="AI101" t="n">
        <v>0</v>
      </c>
      <c r="AJ101" t="n">
        <v>0</v>
      </c>
      <c r="AK101" t="inlineStr">
        <is>
          <t>MDS</t>
        </is>
      </c>
      <c r="AL101" t="inlineStr">
        <is>
          <t>None</t>
        </is>
      </c>
      <c r="AM101" t="inlineStr">
        <is>
          <t>None</t>
        </is>
      </c>
      <c r="AN101" t="inlineStr">
        <is>
          <t>Healthy</t>
        </is>
      </c>
      <c r="AO101" t="inlineStr">
        <is>
          <t>A</t>
        </is>
      </c>
      <c r="AP101" t="inlineStr"/>
      <c r="AQ101">
        <f>IF(AM101="P1",100,IF(AM101="P2",67,IF(AM101="P3",33,0)))</f>
        <v/>
      </c>
      <c r="AR101">
        <f>MIN(100,INT(IF(AI101&gt;0,AI101/Z101,AJ101/AD101)*100))</f>
        <v/>
      </c>
      <c r="AS101">
        <f>IF(AI101+AJ101=0,0,INT(100/D101))</f>
        <v/>
      </c>
      <c r="AT101">
        <f>IF(AO101="A",100,IF(AO101="B",67,33))</f>
        <v/>
      </c>
      <c r="AU101">
        <f>ROUND(0.40*AQ101+0.30*AR101+0.20*AS101+0.10*AT101,0)</f>
        <v/>
      </c>
      <c r="AV101" t="inlineStr"/>
    </row>
    <row r="102">
      <c r="A102" t="inlineStr"/>
      <c r="B102" t="inlineStr">
        <is>
          <t>2026-04-17</t>
        </is>
      </c>
      <c r="C102" t="inlineStr">
        <is>
          <t>2026-03-08</t>
        </is>
      </c>
      <c r="D102" t="n">
        <v>5</v>
      </c>
      <c r="E102" t="inlineStr">
        <is>
          <t>SKU_0002</t>
        </is>
      </c>
      <c r="F102" t="inlineStr">
        <is>
          <t>DC5</t>
        </is>
      </c>
      <c r="G102" t="inlineStr">
        <is>
          <t>F1</t>
        </is>
      </c>
      <c r="H102" t="inlineStr">
        <is>
          <t>Miami</t>
        </is>
      </c>
      <c r="I102" t="inlineStr">
        <is>
          <t>Southeast</t>
        </is>
      </c>
      <c r="J102" t="n">
        <v>25.7617</v>
      </c>
      <c r="K102" t="n">
        <v>-80.1918</v>
      </c>
      <c r="L102" t="inlineStr">
        <is>
          <t>DC</t>
        </is>
      </c>
      <c r="M102" t="inlineStr">
        <is>
          <t>Medical Devices &amp; Diagnostics</t>
        </is>
      </c>
      <c r="N102" t="n">
        <v>317</v>
      </c>
      <c r="O102" t="n">
        <v>62</v>
      </c>
      <c r="P102" t="n">
        <v>0</v>
      </c>
      <c r="Q102" t="n">
        <v>62</v>
      </c>
      <c r="R102" t="n">
        <v>0</v>
      </c>
      <c r="S102" t="n">
        <v>0</v>
      </c>
      <c r="T102" t="n">
        <v>0</v>
      </c>
      <c r="U102" t="n">
        <v>0</v>
      </c>
      <c r="V102" t="n">
        <v>255</v>
      </c>
      <c r="W102" t="n">
        <v>28.8</v>
      </c>
      <c r="X102" t="n">
        <v>3</v>
      </c>
      <c r="Y102" t="n">
        <v>28</v>
      </c>
      <c r="Z102" t="n">
        <v>222</v>
      </c>
      <c r="AA102" t="n">
        <v>21</v>
      </c>
      <c r="AB102" t="n">
        <v>166</v>
      </c>
      <c r="AC102" t="n">
        <v>67</v>
      </c>
      <c r="AD102" t="n">
        <v>530</v>
      </c>
      <c r="AE102" t="n">
        <v>222</v>
      </c>
      <c r="AF102" t="n">
        <v>530</v>
      </c>
      <c r="AG102" t="n">
        <v>100</v>
      </c>
      <c r="AH102" t="n">
        <v>0</v>
      </c>
      <c r="AI102" t="n">
        <v>0</v>
      </c>
      <c r="AJ102" t="n">
        <v>0</v>
      </c>
      <c r="AK102" t="inlineStr">
        <is>
          <t>MDS</t>
        </is>
      </c>
      <c r="AL102" t="inlineStr">
        <is>
          <t>None</t>
        </is>
      </c>
      <c r="AM102" t="inlineStr">
        <is>
          <t>None</t>
        </is>
      </c>
      <c r="AN102" t="inlineStr">
        <is>
          <t>Healthy</t>
        </is>
      </c>
      <c r="AO102" t="inlineStr">
        <is>
          <t>A</t>
        </is>
      </c>
      <c r="AP102" t="inlineStr"/>
      <c r="AQ102">
        <f>IF(AM102="P1",100,IF(AM102="P2",67,IF(AM102="P3",33,0)))</f>
        <v/>
      </c>
      <c r="AR102">
        <f>MIN(100,INT(IF(AI102&gt;0,AI102/Z102,AJ102/AD102)*100))</f>
        <v/>
      </c>
      <c r="AS102">
        <f>IF(AI102+AJ102=0,0,INT(100/D102))</f>
        <v/>
      </c>
      <c r="AT102">
        <f>IF(AO102="A",100,IF(AO102="B",67,33))</f>
        <v/>
      </c>
      <c r="AU102">
        <f>ROUND(0.40*AQ102+0.30*AR102+0.20*AS102+0.10*AT102,0)</f>
        <v/>
      </c>
      <c r="AV102" t="inlineStr"/>
    </row>
    <row r="103">
      <c r="A103" t="inlineStr"/>
      <c r="B103" t="inlineStr">
        <is>
          <t>2026-04-17</t>
        </is>
      </c>
      <c r="C103" t="inlineStr">
        <is>
          <t>2026-03-15</t>
        </is>
      </c>
      <c r="D103" t="n">
        <v>6</v>
      </c>
      <c r="E103" t="inlineStr">
        <is>
          <t>SKU_0002</t>
        </is>
      </c>
      <c r="F103" t="inlineStr">
        <is>
          <t>DC5</t>
        </is>
      </c>
      <c r="G103" t="inlineStr">
        <is>
          <t>F1</t>
        </is>
      </c>
      <c r="H103" t="inlineStr">
        <is>
          <t>Miami</t>
        </is>
      </c>
      <c r="I103" t="inlineStr">
        <is>
          <t>Southeast</t>
        </is>
      </c>
      <c r="J103" t="n">
        <v>25.7617</v>
      </c>
      <c r="K103" t="n">
        <v>-80.1918</v>
      </c>
      <c r="L103" t="inlineStr">
        <is>
          <t>DC</t>
        </is>
      </c>
      <c r="M103" t="inlineStr">
        <is>
          <t>Medical Devices &amp; Diagnostics</t>
        </is>
      </c>
      <c r="N103" t="n">
        <v>255</v>
      </c>
      <c r="O103" t="n">
        <v>61</v>
      </c>
      <c r="P103" t="n">
        <v>0</v>
      </c>
      <c r="Q103" t="n">
        <v>61</v>
      </c>
      <c r="R103" t="n">
        <v>0</v>
      </c>
      <c r="S103" t="n">
        <v>116</v>
      </c>
      <c r="T103" t="n">
        <v>116</v>
      </c>
      <c r="U103" t="n">
        <v>0</v>
      </c>
      <c r="V103" t="n">
        <v>310</v>
      </c>
      <c r="W103" t="n">
        <v>35.6</v>
      </c>
      <c r="X103" t="n">
        <v>3</v>
      </c>
      <c r="Y103" t="n">
        <v>28</v>
      </c>
      <c r="Z103" t="n">
        <v>222</v>
      </c>
      <c r="AA103" t="n">
        <v>21</v>
      </c>
      <c r="AB103" t="n">
        <v>166</v>
      </c>
      <c r="AC103" t="n">
        <v>67</v>
      </c>
      <c r="AD103" t="n">
        <v>530</v>
      </c>
      <c r="AE103" t="n">
        <v>222</v>
      </c>
      <c r="AF103" t="n">
        <v>530</v>
      </c>
      <c r="AG103" t="n">
        <v>100</v>
      </c>
      <c r="AH103" t="n">
        <v>0</v>
      </c>
      <c r="AI103" t="n">
        <v>0</v>
      </c>
      <c r="AJ103" t="n">
        <v>0</v>
      </c>
      <c r="AK103" t="inlineStr">
        <is>
          <t>MDS</t>
        </is>
      </c>
      <c r="AL103" t="inlineStr">
        <is>
          <t>None</t>
        </is>
      </c>
      <c r="AM103" t="inlineStr">
        <is>
          <t>None</t>
        </is>
      </c>
      <c r="AN103" t="inlineStr">
        <is>
          <t>Healthy</t>
        </is>
      </c>
      <c r="AO103" t="inlineStr">
        <is>
          <t>A</t>
        </is>
      </c>
      <c r="AP103" t="inlineStr"/>
      <c r="AQ103">
        <f>IF(AM103="P1",100,IF(AM103="P2",67,IF(AM103="P3",33,0)))</f>
        <v/>
      </c>
      <c r="AR103">
        <f>MIN(100,INT(IF(AI103&gt;0,AI103/Z103,AJ103/AD103)*100))</f>
        <v/>
      </c>
      <c r="AS103">
        <f>IF(AI103+AJ103=0,0,INT(100/D103))</f>
        <v/>
      </c>
      <c r="AT103">
        <f>IF(AO103="A",100,IF(AO103="B",67,33))</f>
        <v/>
      </c>
      <c r="AU103">
        <f>ROUND(0.40*AQ103+0.30*AR103+0.20*AS103+0.10*AT103,0)</f>
        <v/>
      </c>
      <c r="AV103" t="inlineStr"/>
    </row>
    <row r="104">
      <c r="A104" t="inlineStr"/>
      <c r="B104" t="inlineStr">
        <is>
          <t>2026-04-17</t>
        </is>
      </c>
      <c r="C104" t="inlineStr">
        <is>
          <t>2026-03-22</t>
        </is>
      </c>
      <c r="D104" t="n">
        <v>7</v>
      </c>
      <c r="E104" t="inlineStr">
        <is>
          <t>SKU_0002</t>
        </is>
      </c>
      <c r="F104" t="inlineStr">
        <is>
          <t>DC5</t>
        </is>
      </c>
      <c r="G104" t="inlineStr">
        <is>
          <t>F1</t>
        </is>
      </c>
      <c r="H104" t="inlineStr">
        <is>
          <t>Miami</t>
        </is>
      </c>
      <c r="I104" t="inlineStr">
        <is>
          <t>Southeast</t>
        </is>
      </c>
      <c r="J104" t="n">
        <v>25.7617</v>
      </c>
      <c r="K104" t="n">
        <v>-80.1918</v>
      </c>
      <c r="L104" t="inlineStr">
        <is>
          <t>DC</t>
        </is>
      </c>
      <c r="M104" t="inlineStr">
        <is>
          <t>Medical Devices &amp; Diagnostics</t>
        </is>
      </c>
      <c r="N104" t="n">
        <v>310</v>
      </c>
      <c r="O104" t="n">
        <v>46</v>
      </c>
      <c r="P104" t="n">
        <v>0</v>
      </c>
      <c r="Q104" t="n">
        <v>46</v>
      </c>
      <c r="R104" t="n">
        <v>0</v>
      </c>
      <c r="S104" t="n">
        <v>0</v>
      </c>
      <c r="T104" t="n">
        <v>0</v>
      </c>
      <c r="U104" t="n">
        <v>0</v>
      </c>
      <c r="V104" t="n">
        <v>264</v>
      </c>
      <c r="W104" t="n">
        <v>40.2</v>
      </c>
      <c r="X104" t="n">
        <v>3</v>
      </c>
      <c r="Y104" t="n">
        <v>28</v>
      </c>
      <c r="Z104" t="n">
        <v>222</v>
      </c>
      <c r="AA104" t="n">
        <v>21</v>
      </c>
      <c r="AB104" t="n">
        <v>166</v>
      </c>
      <c r="AC104" t="n">
        <v>67</v>
      </c>
      <c r="AD104" t="n">
        <v>530</v>
      </c>
      <c r="AE104" t="n">
        <v>222</v>
      </c>
      <c r="AF104" t="n">
        <v>530</v>
      </c>
      <c r="AG104" t="n">
        <v>100</v>
      </c>
      <c r="AH104" t="n">
        <v>0</v>
      </c>
      <c r="AI104" t="n">
        <v>0</v>
      </c>
      <c r="AJ104" t="n">
        <v>0</v>
      </c>
      <c r="AK104" t="inlineStr">
        <is>
          <t>MDS</t>
        </is>
      </c>
      <c r="AL104" t="inlineStr">
        <is>
          <t>None</t>
        </is>
      </c>
      <c r="AM104" t="inlineStr">
        <is>
          <t>None</t>
        </is>
      </c>
      <c r="AN104" t="inlineStr">
        <is>
          <t>Healthy</t>
        </is>
      </c>
      <c r="AO104" t="inlineStr">
        <is>
          <t>A</t>
        </is>
      </c>
      <c r="AP104" t="inlineStr"/>
      <c r="AQ104">
        <f>IF(AM104="P1",100,IF(AM104="P2",67,IF(AM104="P3",33,0)))</f>
        <v/>
      </c>
      <c r="AR104">
        <f>MIN(100,INT(IF(AI104&gt;0,AI104/Z104,AJ104/AD104)*100))</f>
        <v/>
      </c>
      <c r="AS104">
        <f>IF(AI104+AJ104=0,0,INT(100/D104))</f>
        <v/>
      </c>
      <c r="AT104">
        <f>IF(AO104="A",100,IF(AO104="B",67,33))</f>
        <v/>
      </c>
      <c r="AU104">
        <f>ROUND(0.40*AQ104+0.30*AR104+0.20*AS104+0.10*AT104,0)</f>
        <v/>
      </c>
      <c r="AV104" t="inlineStr"/>
    </row>
    <row r="105">
      <c r="A105" t="inlineStr">
        <is>
          <t>BD-24536581-00054</t>
        </is>
      </c>
      <c r="B105" t="inlineStr">
        <is>
          <t>2026-04-17</t>
        </is>
      </c>
      <c r="C105" t="inlineStr">
        <is>
          <t>2026-03-29</t>
        </is>
      </c>
      <c r="D105" t="n">
        <v>8</v>
      </c>
      <c r="E105" t="inlineStr">
        <is>
          <t>SKU_0002</t>
        </is>
      </c>
      <c r="F105" t="inlineStr">
        <is>
          <t>DC5</t>
        </is>
      </c>
      <c r="G105" t="inlineStr">
        <is>
          <t>F1</t>
        </is>
      </c>
      <c r="H105" t="inlineStr">
        <is>
          <t>Miami</t>
        </is>
      </c>
      <c r="I105" t="inlineStr">
        <is>
          <t>Southeast</t>
        </is>
      </c>
      <c r="J105" t="n">
        <v>25.7617</v>
      </c>
      <c r="K105" t="n">
        <v>-80.1918</v>
      </c>
      <c r="L105" t="inlineStr">
        <is>
          <t>DC</t>
        </is>
      </c>
      <c r="M105" t="inlineStr">
        <is>
          <t>Medical Devices &amp; Diagnostics</t>
        </is>
      </c>
      <c r="N105" t="n">
        <v>264</v>
      </c>
      <c r="O105" t="n">
        <v>54</v>
      </c>
      <c r="P105" t="n">
        <v>0</v>
      </c>
      <c r="Q105" t="n">
        <v>54</v>
      </c>
      <c r="R105" t="n">
        <v>0</v>
      </c>
      <c r="S105" t="n">
        <v>0</v>
      </c>
      <c r="T105" t="n">
        <v>0</v>
      </c>
      <c r="U105" t="n">
        <v>0</v>
      </c>
      <c r="V105" t="n">
        <v>210</v>
      </c>
      <c r="W105" t="n">
        <v>27.2</v>
      </c>
      <c r="X105" t="n">
        <v>3</v>
      </c>
      <c r="Y105" t="n">
        <v>28</v>
      </c>
      <c r="Z105" t="n">
        <v>222</v>
      </c>
      <c r="AA105" t="n">
        <v>21</v>
      </c>
      <c r="AB105" t="n">
        <v>166</v>
      </c>
      <c r="AC105" t="n">
        <v>67</v>
      </c>
      <c r="AD105" t="n">
        <v>530</v>
      </c>
      <c r="AE105" t="n">
        <v>222</v>
      </c>
      <c r="AF105" t="n">
        <v>530</v>
      </c>
      <c r="AG105" t="n">
        <v>94</v>
      </c>
      <c r="AH105" t="n">
        <v>0</v>
      </c>
      <c r="AI105" t="n">
        <v>12</v>
      </c>
      <c r="AJ105" t="n">
        <v>0</v>
      </c>
      <c r="AK105" t="inlineStr">
        <is>
          <t>MDS</t>
        </is>
      </c>
      <c r="AL105" t="inlineStr">
        <is>
          <t>Low MSTN</t>
        </is>
      </c>
      <c r="AM105" t="inlineStr">
        <is>
          <t>P3</t>
        </is>
      </c>
      <c r="AN105" t="inlineStr">
        <is>
          <t>Potential Stockout</t>
        </is>
      </c>
      <c r="AO105" t="inlineStr">
        <is>
          <t>A</t>
        </is>
      </c>
      <c r="AP105" t="inlineStr"/>
      <c r="AQ105">
        <f>IF(AM105="P1",100,IF(AM105="P2",67,IF(AM105="P3",33,0)))</f>
        <v/>
      </c>
      <c r="AR105">
        <f>MIN(100,INT(IF(AI105&gt;0,AI105/Z105,AJ105/AD105)*100))</f>
        <v/>
      </c>
      <c r="AS105">
        <f>IF(AI105+AJ105=0,0,INT(100/D105))</f>
        <v/>
      </c>
      <c r="AT105">
        <f>IF(AO105="A",100,IF(AO105="B",67,33))</f>
        <v/>
      </c>
      <c r="AU105">
        <f>ROUND(0.40*AQ105+0.30*AR105+0.20*AS105+0.10*AT105,0)</f>
        <v/>
      </c>
      <c r="AV105" t="inlineStr">
        <is>
          <t>Opening inventory of 264 and supply of 0 are sufficient to cover the demand of 54. However, the projected closing inventory of 210 falls 12 units below the target safety stock requirement of 222, compromising the critical service level buffer.</t>
        </is>
      </c>
    </row>
    <row r="106">
      <c r="A106" t="inlineStr"/>
      <c r="B106" t="inlineStr">
        <is>
          <t>2026-04-17</t>
        </is>
      </c>
      <c r="C106" t="inlineStr">
        <is>
          <t>2026-04-05</t>
        </is>
      </c>
      <c r="D106" t="n">
        <v>9</v>
      </c>
      <c r="E106" t="inlineStr">
        <is>
          <t>SKU_0002</t>
        </is>
      </c>
      <c r="F106" t="inlineStr">
        <is>
          <t>DC5</t>
        </is>
      </c>
      <c r="G106" t="inlineStr">
        <is>
          <t>F1</t>
        </is>
      </c>
      <c r="H106" t="inlineStr">
        <is>
          <t>Miami</t>
        </is>
      </c>
      <c r="I106" t="inlineStr">
        <is>
          <t>Southeast</t>
        </is>
      </c>
      <c r="J106" t="n">
        <v>25.7617</v>
      </c>
      <c r="K106" t="n">
        <v>-80.1918</v>
      </c>
      <c r="L106" t="inlineStr">
        <is>
          <t>DC</t>
        </is>
      </c>
      <c r="M106" t="inlineStr">
        <is>
          <t>Medical Devices &amp; Diagnostics</t>
        </is>
      </c>
      <c r="N106" t="n">
        <v>210</v>
      </c>
      <c r="O106" t="n">
        <v>34</v>
      </c>
      <c r="P106" t="n">
        <v>0</v>
      </c>
      <c r="Q106" t="n">
        <v>34</v>
      </c>
      <c r="R106" t="n">
        <v>0</v>
      </c>
      <c r="S106" t="n">
        <v>160</v>
      </c>
      <c r="T106" t="n">
        <v>160</v>
      </c>
      <c r="U106" t="n">
        <v>0</v>
      </c>
      <c r="V106" t="n">
        <v>336</v>
      </c>
      <c r="W106" t="n">
        <v>69.2</v>
      </c>
      <c r="X106" t="n">
        <v>3</v>
      </c>
      <c r="Y106" t="n">
        <v>28</v>
      </c>
      <c r="Z106" t="n">
        <v>222</v>
      </c>
      <c r="AA106" t="n">
        <v>21</v>
      </c>
      <c r="AB106" t="n">
        <v>166</v>
      </c>
      <c r="AC106" t="n">
        <v>67</v>
      </c>
      <c r="AD106" t="n">
        <v>530</v>
      </c>
      <c r="AE106" t="n">
        <v>222</v>
      </c>
      <c r="AF106" t="n">
        <v>530</v>
      </c>
      <c r="AG106" t="n">
        <v>100</v>
      </c>
      <c r="AH106" t="n">
        <v>0</v>
      </c>
      <c r="AI106" t="n">
        <v>0</v>
      </c>
      <c r="AJ106" t="n">
        <v>0</v>
      </c>
      <c r="AK106" t="inlineStr">
        <is>
          <t>MDS</t>
        </is>
      </c>
      <c r="AL106" t="inlineStr">
        <is>
          <t>None</t>
        </is>
      </c>
      <c r="AM106" t="inlineStr">
        <is>
          <t>None</t>
        </is>
      </c>
      <c r="AN106" t="inlineStr">
        <is>
          <t>Healthy</t>
        </is>
      </c>
      <c r="AO106" t="inlineStr">
        <is>
          <t>A</t>
        </is>
      </c>
      <c r="AP106" t="inlineStr"/>
      <c r="AQ106">
        <f>IF(AM106="P1",100,IF(AM106="P2",67,IF(AM106="P3",33,0)))</f>
        <v/>
      </c>
      <c r="AR106">
        <f>MIN(100,INT(IF(AI106&gt;0,AI106/Z106,AJ106/AD106)*100))</f>
        <v/>
      </c>
      <c r="AS106">
        <f>IF(AI106+AJ106=0,0,INT(100/D106))</f>
        <v/>
      </c>
      <c r="AT106">
        <f>IF(AO106="A",100,IF(AO106="B",67,33))</f>
        <v/>
      </c>
      <c r="AU106">
        <f>ROUND(0.40*AQ106+0.30*AR106+0.20*AS106+0.10*AT106,0)</f>
        <v/>
      </c>
      <c r="AV106" t="inlineStr"/>
    </row>
    <row r="107">
      <c r="A107" t="inlineStr"/>
      <c r="B107" t="inlineStr">
        <is>
          <t>2026-04-17</t>
        </is>
      </c>
      <c r="C107" t="inlineStr">
        <is>
          <t>2026-04-12</t>
        </is>
      </c>
      <c r="D107" t="n">
        <v>10</v>
      </c>
      <c r="E107" t="inlineStr">
        <is>
          <t>SKU_0002</t>
        </is>
      </c>
      <c r="F107" t="inlineStr">
        <is>
          <t>DC5</t>
        </is>
      </c>
      <c r="G107" t="inlineStr">
        <is>
          <t>F1</t>
        </is>
      </c>
      <c r="H107" t="inlineStr">
        <is>
          <t>Miami</t>
        </is>
      </c>
      <c r="I107" t="inlineStr">
        <is>
          <t>Southeast</t>
        </is>
      </c>
      <c r="J107" t="n">
        <v>25.7617</v>
      </c>
      <c r="K107" t="n">
        <v>-80.1918</v>
      </c>
      <c r="L107" t="inlineStr">
        <is>
          <t>DC</t>
        </is>
      </c>
      <c r="M107" t="inlineStr">
        <is>
          <t>Medical Devices &amp; Diagnostics</t>
        </is>
      </c>
      <c r="N107" t="n">
        <v>336</v>
      </c>
      <c r="O107" t="n">
        <v>62</v>
      </c>
      <c r="P107" t="n">
        <v>0</v>
      </c>
      <c r="Q107" t="n">
        <v>62</v>
      </c>
      <c r="R107" t="n">
        <v>132</v>
      </c>
      <c r="S107" t="n">
        <v>0</v>
      </c>
      <c r="T107" t="n">
        <v>132</v>
      </c>
      <c r="U107" t="n">
        <v>0</v>
      </c>
      <c r="V107" t="n">
        <v>406</v>
      </c>
      <c r="W107" t="n">
        <v>45.8</v>
      </c>
      <c r="X107" t="n">
        <v>3</v>
      </c>
      <c r="Y107" t="n">
        <v>28</v>
      </c>
      <c r="Z107" t="n">
        <v>222</v>
      </c>
      <c r="AA107" t="n">
        <v>21</v>
      </c>
      <c r="AB107" t="n">
        <v>166</v>
      </c>
      <c r="AC107" t="n">
        <v>67</v>
      </c>
      <c r="AD107" t="n">
        <v>530</v>
      </c>
      <c r="AE107" t="n">
        <v>222</v>
      </c>
      <c r="AF107" t="n">
        <v>530</v>
      </c>
      <c r="AG107" t="n">
        <v>100</v>
      </c>
      <c r="AH107" t="n">
        <v>0</v>
      </c>
      <c r="AI107" t="n">
        <v>0</v>
      </c>
      <c r="AJ107" t="n">
        <v>0</v>
      </c>
      <c r="AK107" t="inlineStr">
        <is>
          <t>MDS</t>
        </is>
      </c>
      <c r="AL107" t="inlineStr">
        <is>
          <t>None</t>
        </is>
      </c>
      <c r="AM107" t="inlineStr">
        <is>
          <t>None</t>
        </is>
      </c>
      <c r="AN107" t="inlineStr">
        <is>
          <t>Healthy</t>
        </is>
      </c>
      <c r="AO107" t="inlineStr">
        <is>
          <t>A</t>
        </is>
      </c>
      <c r="AP107" t="inlineStr"/>
      <c r="AQ107">
        <f>IF(AM107="P1",100,IF(AM107="P2",67,IF(AM107="P3",33,0)))</f>
        <v/>
      </c>
      <c r="AR107">
        <f>MIN(100,INT(IF(AI107&gt;0,AI107/Z107,AJ107/AD107)*100))</f>
        <v/>
      </c>
      <c r="AS107">
        <f>IF(AI107+AJ107=0,0,INT(100/D107))</f>
        <v/>
      </c>
      <c r="AT107">
        <f>IF(AO107="A",100,IF(AO107="B",67,33))</f>
        <v/>
      </c>
      <c r="AU107">
        <f>ROUND(0.40*AQ107+0.30*AR107+0.20*AS107+0.10*AT107,0)</f>
        <v/>
      </c>
      <c r="AV107" t="inlineStr"/>
    </row>
    <row r="108">
      <c r="A108" t="inlineStr"/>
      <c r="B108" t="inlineStr">
        <is>
          <t>2026-04-17</t>
        </is>
      </c>
      <c r="C108" t="inlineStr">
        <is>
          <t>2026-04-19</t>
        </is>
      </c>
      <c r="D108" t="n">
        <v>11</v>
      </c>
      <c r="E108" t="inlineStr">
        <is>
          <t>SKU_0002</t>
        </is>
      </c>
      <c r="F108" t="inlineStr">
        <is>
          <t>DC5</t>
        </is>
      </c>
      <c r="G108" t="inlineStr">
        <is>
          <t>F1</t>
        </is>
      </c>
      <c r="H108" t="inlineStr">
        <is>
          <t>Miami</t>
        </is>
      </c>
      <c r="I108" t="inlineStr">
        <is>
          <t>Southeast</t>
        </is>
      </c>
      <c r="J108" t="n">
        <v>25.7617</v>
      </c>
      <c r="K108" t="n">
        <v>-80.1918</v>
      </c>
      <c r="L108" t="inlineStr">
        <is>
          <t>DC</t>
        </is>
      </c>
      <c r="M108" t="inlineStr">
        <is>
          <t>Medical Devices &amp; Diagnostics</t>
        </is>
      </c>
      <c r="N108" t="n">
        <v>406</v>
      </c>
      <c r="O108" t="n">
        <v>47</v>
      </c>
      <c r="P108" t="n">
        <v>0</v>
      </c>
      <c r="Q108" t="n">
        <v>47</v>
      </c>
      <c r="R108" t="n">
        <v>0</v>
      </c>
      <c r="S108" t="n">
        <v>0</v>
      </c>
      <c r="T108" t="n">
        <v>0</v>
      </c>
      <c r="U108" t="n">
        <v>0</v>
      </c>
      <c r="V108" t="n">
        <v>359</v>
      </c>
      <c r="W108" t="n">
        <v>53.5</v>
      </c>
      <c r="X108" t="n">
        <v>3</v>
      </c>
      <c r="Y108" t="n">
        <v>28</v>
      </c>
      <c r="Z108" t="n">
        <v>222</v>
      </c>
      <c r="AA108" t="n">
        <v>21</v>
      </c>
      <c r="AB108" t="n">
        <v>166</v>
      </c>
      <c r="AC108" t="n">
        <v>67</v>
      </c>
      <c r="AD108" t="n">
        <v>530</v>
      </c>
      <c r="AE108" t="n">
        <v>222</v>
      </c>
      <c r="AF108" t="n">
        <v>530</v>
      </c>
      <c r="AG108" t="n">
        <v>100</v>
      </c>
      <c r="AH108" t="n">
        <v>0</v>
      </c>
      <c r="AI108" t="n">
        <v>0</v>
      </c>
      <c r="AJ108" t="n">
        <v>0</v>
      </c>
      <c r="AK108" t="inlineStr">
        <is>
          <t>MDS</t>
        </is>
      </c>
      <c r="AL108" t="inlineStr">
        <is>
          <t>None</t>
        </is>
      </c>
      <c r="AM108" t="inlineStr">
        <is>
          <t>None</t>
        </is>
      </c>
      <c r="AN108" t="inlineStr">
        <is>
          <t>Healthy</t>
        </is>
      </c>
      <c r="AO108" t="inlineStr">
        <is>
          <t>A</t>
        </is>
      </c>
      <c r="AP108" t="inlineStr"/>
      <c r="AQ108">
        <f>IF(AM108="P1",100,IF(AM108="P2",67,IF(AM108="P3",33,0)))</f>
        <v/>
      </c>
      <c r="AR108">
        <f>MIN(100,INT(IF(AI108&gt;0,AI108/Z108,AJ108/AD108)*100))</f>
        <v/>
      </c>
      <c r="AS108">
        <f>IF(AI108+AJ108=0,0,INT(100/D108))</f>
        <v/>
      </c>
      <c r="AT108">
        <f>IF(AO108="A",100,IF(AO108="B",67,33))</f>
        <v/>
      </c>
      <c r="AU108">
        <f>ROUND(0.40*AQ108+0.30*AR108+0.20*AS108+0.10*AT108,0)</f>
        <v/>
      </c>
      <c r="AV108" t="inlineStr"/>
    </row>
    <row r="109">
      <c r="A109" t="inlineStr"/>
      <c r="B109" t="inlineStr">
        <is>
          <t>2026-04-17</t>
        </is>
      </c>
      <c r="C109" t="inlineStr">
        <is>
          <t>2026-04-26</t>
        </is>
      </c>
      <c r="D109" t="n">
        <v>12</v>
      </c>
      <c r="E109" t="inlineStr">
        <is>
          <t>SKU_0002</t>
        </is>
      </c>
      <c r="F109" t="inlineStr">
        <is>
          <t>DC5</t>
        </is>
      </c>
      <c r="G109" t="inlineStr">
        <is>
          <t>F1</t>
        </is>
      </c>
      <c r="H109" t="inlineStr">
        <is>
          <t>Miami</t>
        </is>
      </c>
      <c r="I109" t="inlineStr">
        <is>
          <t>Southeast</t>
        </is>
      </c>
      <c r="J109" t="n">
        <v>25.7617</v>
      </c>
      <c r="K109" t="n">
        <v>-80.1918</v>
      </c>
      <c r="L109" t="inlineStr">
        <is>
          <t>DC</t>
        </is>
      </c>
      <c r="M109" t="inlineStr">
        <is>
          <t>Medical Devices &amp; Diagnostics</t>
        </is>
      </c>
      <c r="N109" t="n">
        <v>359</v>
      </c>
      <c r="O109" t="n">
        <v>44</v>
      </c>
      <c r="P109" t="n">
        <v>0</v>
      </c>
      <c r="Q109" t="n">
        <v>44</v>
      </c>
      <c r="R109" t="n">
        <v>0</v>
      </c>
      <c r="S109" t="n">
        <v>0</v>
      </c>
      <c r="T109" t="n">
        <v>0</v>
      </c>
      <c r="U109" t="n">
        <v>0</v>
      </c>
      <c r="V109" t="n">
        <v>315</v>
      </c>
      <c r="W109" t="n">
        <v>50.1</v>
      </c>
      <c r="X109" t="n">
        <v>3</v>
      </c>
      <c r="Y109" t="n">
        <v>28</v>
      </c>
      <c r="Z109" t="n">
        <v>222</v>
      </c>
      <c r="AA109" t="n">
        <v>21</v>
      </c>
      <c r="AB109" t="n">
        <v>166</v>
      </c>
      <c r="AC109" t="n">
        <v>67</v>
      </c>
      <c r="AD109" t="n">
        <v>530</v>
      </c>
      <c r="AE109" t="n">
        <v>222</v>
      </c>
      <c r="AF109" t="n">
        <v>530</v>
      </c>
      <c r="AG109" t="n">
        <v>100</v>
      </c>
      <c r="AH109" t="n">
        <v>0</v>
      </c>
      <c r="AI109" t="n">
        <v>0</v>
      </c>
      <c r="AJ109" t="n">
        <v>0</v>
      </c>
      <c r="AK109" t="inlineStr">
        <is>
          <t>MDS</t>
        </is>
      </c>
      <c r="AL109" t="inlineStr">
        <is>
          <t>None</t>
        </is>
      </c>
      <c r="AM109" t="inlineStr">
        <is>
          <t>None</t>
        </is>
      </c>
      <c r="AN109" t="inlineStr">
        <is>
          <t>Healthy</t>
        </is>
      </c>
      <c r="AO109" t="inlineStr">
        <is>
          <t>A</t>
        </is>
      </c>
      <c r="AP109" t="inlineStr"/>
      <c r="AQ109">
        <f>IF(AM109="P1",100,IF(AM109="P2",67,IF(AM109="P3",33,0)))</f>
        <v/>
      </c>
      <c r="AR109">
        <f>MIN(100,INT(IF(AI109&gt;0,AI109/Z109,AJ109/AD109)*100))</f>
        <v/>
      </c>
      <c r="AS109">
        <f>IF(AI109+AJ109=0,0,INT(100/D109))</f>
        <v/>
      </c>
      <c r="AT109">
        <f>IF(AO109="A",100,IF(AO109="B",67,33))</f>
        <v/>
      </c>
      <c r="AU109">
        <f>ROUND(0.40*AQ109+0.30*AR109+0.20*AS109+0.10*AT109,0)</f>
        <v/>
      </c>
      <c r="AV109" t="inlineStr"/>
    </row>
    <row r="110">
      <c r="A110" t="inlineStr"/>
      <c r="B110" t="inlineStr">
        <is>
          <t>2026-04-17</t>
        </is>
      </c>
      <c r="C110" t="inlineStr">
        <is>
          <t>2026-02-08</t>
        </is>
      </c>
      <c r="D110" t="n">
        <v>1</v>
      </c>
      <c r="E110" t="inlineStr">
        <is>
          <t>SKU_0002</t>
        </is>
      </c>
      <c r="F110" t="inlineStr">
        <is>
          <t>F1</t>
        </is>
      </c>
      <c r="G110" t="inlineStr">
        <is>
          <t>F1</t>
        </is>
      </c>
      <c r="H110" t="inlineStr">
        <is>
          <t>Detroit</t>
        </is>
      </c>
      <c r="I110" t="inlineStr">
        <is>
          <t>Midwest</t>
        </is>
      </c>
      <c r="J110" t="n">
        <v>42.3314</v>
      </c>
      <c r="K110" t="n">
        <v>-83.0458</v>
      </c>
      <c r="L110" t="inlineStr">
        <is>
          <t>Factory</t>
        </is>
      </c>
      <c r="M110" t="inlineStr">
        <is>
          <t>Medical Devices &amp; Diagnostics</t>
        </is>
      </c>
      <c r="N110" t="n">
        <v>1739</v>
      </c>
      <c r="O110" t="n">
        <v>737</v>
      </c>
      <c r="P110" t="n">
        <v>0</v>
      </c>
      <c r="Q110" t="n">
        <v>737</v>
      </c>
      <c r="R110" t="n">
        <v>0</v>
      </c>
      <c r="S110" t="n">
        <v>1531</v>
      </c>
      <c r="T110" t="n">
        <v>1531</v>
      </c>
      <c r="U110" t="n">
        <v>0</v>
      </c>
      <c r="V110" t="n">
        <v>2533</v>
      </c>
      <c r="W110" t="n">
        <v>24.1</v>
      </c>
      <c r="X110" t="n">
        <v>6</v>
      </c>
      <c r="Y110" t="n">
        <v>28</v>
      </c>
      <c r="Z110" t="n">
        <v>1570</v>
      </c>
      <c r="AA110" t="n">
        <v>42</v>
      </c>
      <c r="AB110" t="n">
        <v>2355</v>
      </c>
      <c r="AC110" t="n">
        <v>95</v>
      </c>
      <c r="AD110" t="n">
        <v>5333</v>
      </c>
      <c r="AE110" t="n">
        <v>1570</v>
      </c>
      <c r="AF110" t="n">
        <v>5333</v>
      </c>
      <c r="AG110" t="n">
        <v>100</v>
      </c>
      <c r="AH110" t="n">
        <v>0</v>
      </c>
      <c r="AI110" t="n">
        <v>0</v>
      </c>
      <c r="AJ110" t="n">
        <v>0</v>
      </c>
      <c r="AK110" t="inlineStr">
        <is>
          <t>MDS</t>
        </is>
      </c>
      <c r="AL110" t="inlineStr">
        <is>
          <t>None</t>
        </is>
      </c>
      <c r="AM110" t="inlineStr">
        <is>
          <t>None</t>
        </is>
      </c>
      <c r="AN110" t="inlineStr">
        <is>
          <t>Healthy</t>
        </is>
      </c>
      <c r="AO110" t="inlineStr">
        <is>
          <t>A</t>
        </is>
      </c>
      <c r="AP110" t="inlineStr"/>
      <c r="AQ110">
        <f>IF(AM110="P1",100,IF(AM110="P2",67,IF(AM110="P3",33,0)))</f>
        <v/>
      </c>
      <c r="AR110">
        <f>MIN(100,INT(IF(AI110&gt;0,AI110/Z110,AJ110/AD110)*100))</f>
        <v/>
      </c>
      <c r="AS110">
        <f>IF(AI110+AJ110=0,0,INT(100/D110))</f>
        <v/>
      </c>
      <c r="AT110">
        <f>IF(AO110="A",100,IF(AO110="B",67,33))</f>
        <v/>
      </c>
      <c r="AU110">
        <f>ROUND(0.40*AQ110+0.30*AR110+0.20*AS110+0.10*AT110,0)</f>
        <v/>
      </c>
      <c r="AV110" t="inlineStr"/>
    </row>
    <row r="111">
      <c r="A111" t="inlineStr"/>
      <c r="B111" t="inlineStr">
        <is>
          <t>2026-04-17</t>
        </is>
      </c>
      <c r="C111" t="inlineStr">
        <is>
          <t>2026-02-15</t>
        </is>
      </c>
      <c r="D111" t="n">
        <v>2</v>
      </c>
      <c r="E111" t="inlineStr">
        <is>
          <t>SKU_0002</t>
        </is>
      </c>
      <c r="F111" t="inlineStr">
        <is>
          <t>F1</t>
        </is>
      </c>
      <c r="G111" t="inlineStr">
        <is>
          <t>F1</t>
        </is>
      </c>
      <c r="H111" t="inlineStr">
        <is>
          <t>Detroit</t>
        </is>
      </c>
      <c r="I111" t="inlineStr">
        <is>
          <t>Midwest</t>
        </is>
      </c>
      <c r="J111" t="n">
        <v>42.3314</v>
      </c>
      <c r="K111" t="n">
        <v>-83.0458</v>
      </c>
      <c r="L111" t="inlineStr">
        <is>
          <t>Factory</t>
        </is>
      </c>
      <c r="M111" t="inlineStr">
        <is>
          <t>Medical Devices &amp; Diagnostics</t>
        </is>
      </c>
      <c r="N111" t="n">
        <v>2533</v>
      </c>
      <c r="O111" t="n">
        <v>801</v>
      </c>
      <c r="P111" t="n">
        <v>0</v>
      </c>
      <c r="Q111" t="n">
        <v>801</v>
      </c>
      <c r="R111" t="n">
        <v>0</v>
      </c>
      <c r="S111" t="n">
        <v>0</v>
      </c>
      <c r="T111" t="n">
        <v>0</v>
      </c>
      <c r="U111" t="n">
        <v>0</v>
      </c>
      <c r="V111" t="n">
        <v>1732</v>
      </c>
      <c r="W111" t="n">
        <v>15.1</v>
      </c>
      <c r="X111" t="n">
        <v>6</v>
      </c>
      <c r="Y111" t="n">
        <v>28</v>
      </c>
      <c r="Z111" t="n">
        <v>1570</v>
      </c>
      <c r="AA111" t="n">
        <v>42</v>
      </c>
      <c r="AB111" t="n">
        <v>2355</v>
      </c>
      <c r="AC111" t="n">
        <v>95</v>
      </c>
      <c r="AD111" t="n">
        <v>5333</v>
      </c>
      <c r="AE111" t="n">
        <v>1570</v>
      </c>
      <c r="AF111" t="n">
        <v>5333</v>
      </c>
      <c r="AG111" t="n">
        <v>100</v>
      </c>
      <c r="AH111" t="n">
        <v>0</v>
      </c>
      <c r="AI111" t="n">
        <v>0</v>
      </c>
      <c r="AJ111" t="n">
        <v>0</v>
      </c>
      <c r="AK111" t="inlineStr">
        <is>
          <t>MDS</t>
        </is>
      </c>
      <c r="AL111" t="inlineStr">
        <is>
          <t>None</t>
        </is>
      </c>
      <c r="AM111" t="inlineStr">
        <is>
          <t>None</t>
        </is>
      </c>
      <c r="AN111" t="inlineStr">
        <is>
          <t>Healthy</t>
        </is>
      </c>
      <c r="AO111" t="inlineStr">
        <is>
          <t>A</t>
        </is>
      </c>
      <c r="AP111" t="inlineStr"/>
      <c r="AQ111">
        <f>IF(AM111="P1",100,IF(AM111="P2",67,IF(AM111="P3",33,0)))</f>
        <v/>
      </c>
      <c r="AR111">
        <f>MIN(100,INT(IF(AI111&gt;0,AI111/Z111,AJ111/AD111)*100))</f>
        <v/>
      </c>
      <c r="AS111">
        <f>IF(AI111+AJ111=0,0,INT(100/D111))</f>
        <v/>
      </c>
      <c r="AT111">
        <f>IF(AO111="A",100,IF(AO111="B",67,33))</f>
        <v/>
      </c>
      <c r="AU111">
        <f>ROUND(0.40*AQ111+0.30*AR111+0.20*AS111+0.10*AT111,0)</f>
        <v/>
      </c>
      <c r="AV111" t="inlineStr"/>
    </row>
    <row r="112">
      <c r="A112" t="inlineStr">
        <is>
          <t>BD-24536581-00055</t>
        </is>
      </c>
      <c r="B112" t="inlineStr">
        <is>
          <t>2026-04-17</t>
        </is>
      </c>
      <c r="C112" t="inlineStr">
        <is>
          <t>2026-02-22</t>
        </is>
      </c>
      <c r="D112" t="n">
        <v>3</v>
      </c>
      <c r="E112" t="inlineStr">
        <is>
          <t>SKU_0002</t>
        </is>
      </c>
      <c r="F112" t="inlineStr">
        <is>
          <t>F1</t>
        </is>
      </c>
      <c r="G112" t="inlineStr">
        <is>
          <t>F1</t>
        </is>
      </c>
      <c r="H112" t="inlineStr">
        <is>
          <t>Detroit</t>
        </is>
      </c>
      <c r="I112" t="inlineStr">
        <is>
          <t>Midwest</t>
        </is>
      </c>
      <c r="J112" t="n">
        <v>42.3314</v>
      </c>
      <c r="K112" t="n">
        <v>-83.0458</v>
      </c>
      <c r="L112" t="inlineStr">
        <is>
          <t>Factory</t>
        </is>
      </c>
      <c r="M112" t="inlineStr">
        <is>
          <t>Medical Devices &amp; Diagnostics</t>
        </is>
      </c>
      <c r="N112" t="n">
        <v>1732</v>
      </c>
      <c r="O112" t="n">
        <v>737</v>
      </c>
      <c r="P112" t="n">
        <v>0</v>
      </c>
      <c r="Q112" t="n">
        <v>737</v>
      </c>
      <c r="R112" t="n">
        <v>540</v>
      </c>
      <c r="S112" t="n">
        <v>0</v>
      </c>
      <c r="T112" t="n">
        <v>540</v>
      </c>
      <c r="U112" t="n">
        <v>0</v>
      </c>
      <c r="V112" t="n">
        <v>1535</v>
      </c>
      <c r="W112" t="n">
        <v>14.6</v>
      </c>
      <c r="X112" t="n">
        <v>6</v>
      </c>
      <c r="Y112" t="n">
        <v>28</v>
      </c>
      <c r="Z112" t="n">
        <v>1570</v>
      </c>
      <c r="AA112" t="n">
        <v>42</v>
      </c>
      <c r="AB112" t="n">
        <v>2355</v>
      </c>
      <c r="AC112" t="n">
        <v>95</v>
      </c>
      <c r="AD112" t="n">
        <v>5333</v>
      </c>
      <c r="AE112" t="n">
        <v>1570</v>
      </c>
      <c r="AF112" t="n">
        <v>5333</v>
      </c>
      <c r="AG112" t="n">
        <v>97</v>
      </c>
      <c r="AH112" t="n">
        <v>0</v>
      </c>
      <c r="AI112" t="n">
        <v>35</v>
      </c>
      <c r="AJ112" t="n">
        <v>0</v>
      </c>
      <c r="AK112" t="inlineStr">
        <is>
          <t>MDS</t>
        </is>
      </c>
      <c r="AL112" t="inlineStr">
        <is>
          <t>Low MSTN</t>
        </is>
      </c>
      <c r="AM112" t="inlineStr">
        <is>
          <t>P2</t>
        </is>
      </c>
      <c r="AN112" t="inlineStr">
        <is>
          <t>At-Risk Stockout</t>
        </is>
      </c>
      <c r="AO112" t="inlineStr">
        <is>
          <t>A</t>
        </is>
      </c>
      <c r="AP112" t="inlineStr"/>
      <c r="AQ112">
        <f>IF(AM112="P1",100,IF(AM112="P2",67,IF(AM112="P3",33,0)))</f>
        <v/>
      </c>
      <c r="AR112">
        <f>MIN(100,INT(IF(AI112&gt;0,AI112/Z112,AJ112/AD112)*100))</f>
        <v/>
      </c>
      <c r="AS112">
        <f>IF(AI112+AJ112=0,0,INT(100/D112))</f>
        <v/>
      </c>
      <c r="AT112">
        <f>IF(AO112="A",100,IF(AO112="B",67,33))</f>
        <v/>
      </c>
      <c r="AU112">
        <f>ROUND(0.40*AQ112+0.30*AR112+0.20*AS112+0.10*AT112,0)</f>
        <v/>
      </c>
      <c r="AV112" t="inlineStr">
        <is>
          <t>Opening inventory of 1732 and supply of 0 are sufficient to cover the demand of 737. However, the projected closing inventory of 1535 falls 35 units below the target safety stock requirement of 1570, compromising the critical service level buffer.</t>
        </is>
      </c>
    </row>
    <row r="113">
      <c r="A113" t="inlineStr"/>
      <c r="B113" t="inlineStr">
        <is>
          <t>2026-04-17</t>
        </is>
      </c>
      <c r="C113" t="inlineStr">
        <is>
          <t>2026-03-01</t>
        </is>
      </c>
      <c r="D113" t="n">
        <v>4</v>
      </c>
      <c r="E113" t="inlineStr">
        <is>
          <t>SKU_0002</t>
        </is>
      </c>
      <c r="F113" t="inlineStr">
        <is>
          <t>F1</t>
        </is>
      </c>
      <c r="G113" t="inlineStr">
        <is>
          <t>F1</t>
        </is>
      </c>
      <c r="H113" t="inlineStr">
        <is>
          <t>Detroit</t>
        </is>
      </c>
      <c r="I113" t="inlineStr">
        <is>
          <t>Midwest</t>
        </is>
      </c>
      <c r="J113" t="n">
        <v>42.3314</v>
      </c>
      <c r="K113" t="n">
        <v>-83.0458</v>
      </c>
      <c r="L113" t="inlineStr">
        <is>
          <t>Factory</t>
        </is>
      </c>
      <c r="M113" t="inlineStr">
        <is>
          <t>Medical Devices &amp; Diagnostics</t>
        </is>
      </c>
      <c r="N113" t="n">
        <v>1535</v>
      </c>
      <c r="O113" t="n">
        <v>1748</v>
      </c>
      <c r="P113" t="n">
        <v>0</v>
      </c>
      <c r="Q113" t="n">
        <v>1748</v>
      </c>
      <c r="R113" t="n">
        <v>0</v>
      </c>
      <c r="S113" t="n">
        <v>2909</v>
      </c>
      <c r="T113" t="n">
        <v>2909</v>
      </c>
      <c r="U113" t="n">
        <v>0</v>
      </c>
      <c r="V113" t="n">
        <v>2696</v>
      </c>
      <c r="W113" t="n">
        <v>10.8</v>
      </c>
      <c r="X113" t="n">
        <v>6</v>
      </c>
      <c r="Y113" t="n">
        <v>28</v>
      </c>
      <c r="Z113" t="n">
        <v>1570</v>
      </c>
      <c r="AA113" t="n">
        <v>42</v>
      </c>
      <c r="AB113" t="n">
        <v>2355</v>
      </c>
      <c r="AC113" t="n">
        <v>95</v>
      </c>
      <c r="AD113" t="n">
        <v>5333</v>
      </c>
      <c r="AE113" t="n">
        <v>1570</v>
      </c>
      <c r="AF113" t="n">
        <v>5333</v>
      </c>
      <c r="AG113" t="n">
        <v>100</v>
      </c>
      <c r="AH113" t="n">
        <v>0</v>
      </c>
      <c r="AI113" t="n">
        <v>0</v>
      </c>
      <c r="AJ113" t="n">
        <v>0</v>
      </c>
      <c r="AK113" t="inlineStr">
        <is>
          <t>MDS</t>
        </is>
      </c>
      <c r="AL113" t="inlineStr">
        <is>
          <t>None</t>
        </is>
      </c>
      <c r="AM113" t="inlineStr">
        <is>
          <t>None</t>
        </is>
      </c>
      <c r="AN113" t="inlineStr">
        <is>
          <t>Healthy</t>
        </is>
      </c>
      <c r="AO113" t="inlineStr">
        <is>
          <t>A</t>
        </is>
      </c>
      <c r="AP113" t="inlineStr"/>
      <c r="AQ113">
        <f>IF(AM113="P1",100,IF(AM113="P2",67,IF(AM113="P3",33,0)))</f>
        <v/>
      </c>
      <c r="AR113">
        <f>MIN(100,INT(IF(AI113&gt;0,AI113/Z113,AJ113/AD113)*100))</f>
        <v/>
      </c>
      <c r="AS113">
        <f>IF(AI113+AJ113=0,0,INT(100/D113))</f>
        <v/>
      </c>
      <c r="AT113">
        <f>IF(AO113="A",100,IF(AO113="B",67,33))</f>
        <v/>
      </c>
      <c r="AU113">
        <f>ROUND(0.40*AQ113+0.30*AR113+0.20*AS113+0.10*AT113,0)</f>
        <v/>
      </c>
      <c r="AV113" t="inlineStr"/>
    </row>
    <row r="114">
      <c r="A114" t="inlineStr"/>
      <c r="B114" t="inlineStr">
        <is>
          <t>2026-04-17</t>
        </is>
      </c>
      <c r="C114" t="inlineStr">
        <is>
          <t>2026-03-08</t>
        </is>
      </c>
      <c r="D114" t="n">
        <v>5</v>
      </c>
      <c r="E114" t="inlineStr">
        <is>
          <t>SKU_0002</t>
        </is>
      </c>
      <c r="F114" t="inlineStr">
        <is>
          <t>F1</t>
        </is>
      </c>
      <c r="G114" t="inlineStr">
        <is>
          <t>F1</t>
        </is>
      </c>
      <c r="H114" t="inlineStr">
        <is>
          <t>Detroit</t>
        </is>
      </c>
      <c r="I114" t="inlineStr">
        <is>
          <t>Midwest</t>
        </is>
      </c>
      <c r="J114" t="n">
        <v>42.3314</v>
      </c>
      <c r="K114" t="n">
        <v>-83.0458</v>
      </c>
      <c r="L114" t="inlineStr">
        <is>
          <t>Factory</t>
        </is>
      </c>
      <c r="M114" t="inlineStr">
        <is>
          <t>Medical Devices &amp; Diagnostics</t>
        </is>
      </c>
      <c r="N114" t="n">
        <v>2696</v>
      </c>
      <c r="O114" t="n">
        <v>286</v>
      </c>
      <c r="P114" t="n">
        <v>0</v>
      </c>
      <c r="Q114" t="n">
        <v>286</v>
      </c>
      <c r="R114" t="n">
        <v>1157</v>
      </c>
      <c r="S114" t="n">
        <v>0</v>
      </c>
      <c r="T114" t="n">
        <v>1157</v>
      </c>
      <c r="U114" t="n">
        <v>0</v>
      </c>
      <c r="V114" t="n">
        <v>3567</v>
      </c>
      <c r="W114" t="n">
        <v>87.3</v>
      </c>
      <c r="X114" t="n">
        <v>6</v>
      </c>
      <c r="Y114" t="n">
        <v>28</v>
      </c>
      <c r="Z114" t="n">
        <v>1570</v>
      </c>
      <c r="AA114" t="n">
        <v>42</v>
      </c>
      <c r="AB114" t="n">
        <v>2355</v>
      </c>
      <c r="AC114" t="n">
        <v>95</v>
      </c>
      <c r="AD114" t="n">
        <v>5333</v>
      </c>
      <c r="AE114" t="n">
        <v>1570</v>
      </c>
      <c r="AF114" t="n">
        <v>5333</v>
      </c>
      <c r="AG114" t="n">
        <v>100</v>
      </c>
      <c r="AH114" t="n">
        <v>0</v>
      </c>
      <c r="AI114" t="n">
        <v>0</v>
      </c>
      <c r="AJ114" t="n">
        <v>0</v>
      </c>
      <c r="AK114" t="inlineStr">
        <is>
          <t>MDS</t>
        </is>
      </c>
      <c r="AL114" t="inlineStr">
        <is>
          <t>None</t>
        </is>
      </c>
      <c r="AM114" t="inlineStr">
        <is>
          <t>None</t>
        </is>
      </c>
      <c r="AN114" t="inlineStr">
        <is>
          <t>Healthy</t>
        </is>
      </c>
      <c r="AO114" t="inlineStr">
        <is>
          <t>A</t>
        </is>
      </c>
      <c r="AP114" t="inlineStr"/>
      <c r="AQ114">
        <f>IF(AM114="P1",100,IF(AM114="P2",67,IF(AM114="P3",33,0)))</f>
        <v/>
      </c>
      <c r="AR114">
        <f>MIN(100,INT(IF(AI114&gt;0,AI114/Z114,AJ114/AD114)*100))</f>
        <v/>
      </c>
      <c r="AS114">
        <f>IF(AI114+AJ114=0,0,INT(100/D114))</f>
        <v/>
      </c>
      <c r="AT114">
        <f>IF(AO114="A",100,IF(AO114="B",67,33))</f>
        <v/>
      </c>
      <c r="AU114">
        <f>ROUND(0.40*AQ114+0.30*AR114+0.20*AS114+0.10*AT114,0)</f>
        <v/>
      </c>
      <c r="AV114" t="inlineStr"/>
    </row>
    <row r="115">
      <c r="A115" t="inlineStr"/>
      <c r="B115" t="inlineStr">
        <is>
          <t>2026-04-17</t>
        </is>
      </c>
      <c r="C115" t="inlineStr">
        <is>
          <t>2026-03-15</t>
        </is>
      </c>
      <c r="D115" t="n">
        <v>6</v>
      </c>
      <c r="E115" t="inlineStr">
        <is>
          <t>SKU_0002</t>
        </is>
      </c>
      <c r="F115" t="inlineStr">
        <is>
          <t>F1</t>
        </is>
      </c>
      <c r="G115" t="inlineStr">
        <is>
          <t>F1</t>
        </is>
      </c>
      <c r="H115" t="inlineStr">
        <is>
          <t>Detroit</t>
        </is>
      </c>
      <c r="I115" t="inlineStr">
        <is>
          <t>Midwest</t>
        </is>
      </c>
      <c r="J115" t="n">
        <v>42.3314</v>
      </c>
      <c r="K115" t="n">
        <v>-83.0458</v>
      </c>
      <c r="L115" t="inlineStr">
        <is>
          <t>Factory</t>
        </is>
      </c>
      <c r="M115" t="inlineStr">
        <is>
          <t>Medical Devices &amp; Diagnostics</t>
        </is>
      </c>
      <c r="N115" t="n">
        <v>3567</v>
      </c>
      <c r="O115" t="n">
        <v>233</v>
      </c>
      <c r="P115" t="n">
        <v>0</v>
      </c>
      <c r="Q115" t="n">
        <v>233</v>
      </c>
      <c r="R115" t="n">
        <v>0</v>
      </c>
      <c r="S115" t="n">
        <v>0</v>
      </c>
      <c r="T115" t="n">
        <v>0</v>
      </c>
      <c r="U115" t="n">
        <v>0</v>
      </c>
      <c r="V115" t="n">
        <v>3334</v>
      </c>
      <c r="W115" t="n">
        <v>100.2</v>
      </c>
      <c r="X115" t="n">
        <v>6</v>
      </c>
      <c r="Y115" t="n">
        <v>28</v>
      </c>
      <c r="Z115" t="n">
        <v>1570</v>
      </c>
      <c r="AA115" t="n">
        <v>42</v>
      </c>
      <c r="AB115" t="n">
        <v>2355</v>
      </c>
      <c r="AC115" t="n">
        <v>95</v>
      </c>
      <c r="AD115" t="n">
        <v>5333</v>
      </c>
      <c r="AE115" t="n">
        <v>1570</v>
      </c>
      <c r="AF115" t="n">
        <v>5333</v>
      </c>
      <c r="AG115" t="n">
        <v>100</v>
      </c>
      <c r="AH115" t="n">
        <v>0</v>
      </c>
      <c r="AI115" t="n">
        <v>0</v>
      </c>
      <c r="AJ115" t="n">
        <v>0</v>
      </c>
      <c r="AK115" t="inlineStr">
        <is>
          <t>MDS</t>
        </is>
      </c>
      <c r="AL115" t="inlineStr">
        <is>
          <t>None</t>
        </is>
      </c>
      <c r="AM115" t="inlineStr">
        <is>
          <t>None</t>
        </is>
      </c>
      <c r="AN115" t="inlineStr">
        <is>
          <t>Healthy</t>
        </is>
      </c>
      <c r="AO115" t="inlineStr">
        <is>
          <t>A</t>
        </is>
      </c>
      <c r="AP115" t="inlineStr"/>
      <c r="AQ115">
        <f>IF(AM115="P1",100,IF(AM115="P2",67,IF(AM115="P3",33,0)))</f>
        <v/>
      </c>
      <c r="AR115">
        <f>MIN(100,INT(IF(AI115&gt;0,AI115/Z115,AJ115/AD115)*100))</f>
        <v/>
      </c>
      <c r="AS115">
        <f>IF(AI115+AJ115=0,0,INT(100/D115))</f>
        <v/>
      </c>
      <c r="AT115">
        <f>IF(AO115="A",100,IF(AO115="B",67,33))</f>
        <v/>
      </c>
      <c r="AU115">
        <f>ROUND(0.40*AQ115+0.30*AR115+0.20*AS115+0.10*AT115,0)</f>
        <v/>
      </c>
      <c r="AV115" t="inlineStr"/>
    </row>
    <row r="116">
      <c r="A116" t="inlineStr"/>
      <c r="B116" t="inlineStr">
        <is>
          <t>2026-04-17</t>
        </is>
      </c>
      <c r="C116" t="inlineStr">
        <is>
          <t>2026-03-22</t>
        </is>
      </c>
      <c r="D116" t="n">
        <v>7</v>
      </c>
      <c r="E116" t="inlineStr">
        <is>
          <t>SKU_0002</t>
        </is>
      </c>
      <c r="F116" t="inlineStr">
        <is>
          <t>F1</t>
        </is>
      </c>
      <c r="G116" t="inlineStr">
        <is>
          <t>F1</t>
        </is>
      </c>
      <c r="H116" t="inlineStr">
        <is>
          <t>Detroit</t>
        </is>
      </c>
      <c r="I116" t="inlineStr">
        <is>
          <t>Midwest</t>
        </is>
      </c>
      <c r="J116" t="n">
        <v>42.3314</v>
      </c>
      <c r="K116" t="n">
        <v>-83.0458</v>
      </c>
      <c r="L116" t="inlineStr">
        <is>
          <t>Factory</t>
        </is>
      </c>
      <c r="M116" t="inlineStr">
        <is>
          <t>Medical Devices &amp; Diagnostics</t>
        </is>
      </c>
      <c r="N116" t="n">
        <v>3334</v>
      </c>
      <c r="O116" t="n">
        <v>0</v>
      </c>
      <c r="P116" t="n">
        <v>0</v>
      </c>
      <c r="Q116" t="n">
        <v>0</v>
      </c>
      <c r="R116" t="n">
        <v>0</v>
      </c>
      <c r="S116" t="n">
        <v>2840</v>
      </c>
      <c r="T116" t="n">
        <v>2840</v>
      </c>
      <c r="U116" t="n">
        <v>0</v>
      </c>
      <c r="V116" t="n">
        <v>6174</v>
      </c>
      <c r="W116" t="n">
        <v>0</v>
      </c>
      <c r="X116" t="n">
        <v>6</v>
      </c>
      <c r="Y116" t="n">
        <v>28</v>
      </c>
      <c r="Z116" t="n">
        <v>1570</v>
      </c>
      <c r="AA116" t="n">
        <v>42</v>
      </c>
      <c r="AB116" t="n">
        <v>2355</v>
      </c>
      <c r="AC116" t="n">
        <v>95</v>
      </c>
      <c r="AD116" t="n">
        <v>5333</v>
      </c>
      <c r="AE116" t="n">
        <v>1570</v>
      </c>
      <c r="AF116" t="n">
        <v>5333</v>
      </c>
      <c r="AG116" t="n">
        <v>100</v>
      </c>
      <c r="AH116" t="n">
        <v>15</v>
      </c>
      <c r="AI116" t="n">
        <v>0</v>
      </c>
      <c r="AJ116" t="n">
        <v>841</v>
      </c>
      <c r="AK116" t="inlineStr">
        <is>
          <t>MDS</t>
        </is>
      </c>
      <c r="AL116" t="inlineStr">
        <is>
          <t>None</t>
        </is>
      </c>
      <c r="AM116" t="inlineStr">
        <is>
          <t>None</t>
        </is>
      </c>
      <c r="AN116" t="inlineStr">
        <is>
          <t>Healthy</t>
        </is>
      </c>
      <c r="AO116" t="inlineStr">
        <is>
          <t>A</t>
        </is>
      </c>
      <c r="AP116" t="inlineStr"/>
      <c r="AQ116">
        <f>IF(AM116="P1",100,IF(AM116="P2",67,IF(AM116="P3",33,0)))</f>
        <v/>
      </c>
      <c r="AR116">
        <f>MIN(100,INT(IF(AI116&gt;0,AI116/Z116,AJ116/AD116)*100))</f>
        <v/>
      </c>
      <c r="AS116">
        <f>IF(AI116+AJ116=0,0,INT(100/D116))</f>
        <v/>
      </c>
      <c r="AT116">
        <f>IF(AO116="A",100,IF(AO116="B",67,33))</f>
        <v/>
      </c>
      <c r="AU116">
        <f>ROUND(0.40*AQ116+0.30*AR116+0.20*AS116+0.10*AT116,0)</f>
        <v/>
      </c>
      <c r="AV116" t="inlineStr"/>
    </row>
    <row r="117">
      <c r="A117" t="inlineStr">
        <is>
          <t>BD-24536581-00056</t>
        </is>
      </c>
      <c r="B117" t="inlineStr">
        <is>
          <t>2026-04-17</t>
        </is>
      </c>
      <c r="C117" t="inlineStr">
        <is>
          <t>2026-03-29</t>
        </is>
      </c>
      <c r="D117" t="n">
        <v>8</v>
      </c>
      <c r="E117" t="inlineStr">
        <is>
          <t>SKU_0002</t>
        </is>
      </c>
      <c r="F117" t="inlineStr">
        <is>
          <t>F1</t>
        </is>
      </c>
      <c r="G117" t="inlineStr">
        <is>
          <t>F1</t>
        </is>
      </c>
      <c r="H117" t="inlineStr">
        <is>
          <t>Detroit</t>
        </is>
      </c>
      <c r="I117" t="inlineStr">
        <is>
          <t>Midwest</t>
        </is>
      </c>
      <c r="J117" t="n">
        <v>42.3314</v>
      </c>
      <c r="K117" t="n">
        <v>-83.0458</v>
      </c>
      <c r="L117" t="inlineStr">
        <is>
          <t>Factory</t>
        </is>
      </c>
      <c r="M117" t="inlineStr">
        <is>
          <t>Medical Devices &amp; Diagnostics</t>
        </is>
      </c>
      <c r="N117" t="n">
        <v>6174</v>
      </c>
      <c r="O117" t="n">
        <v>440</v>
      </c>
      <c r="P117" t="n">
        <v>0</v>
      </c>
      <c r="Q117" t="n">
        <v>440</v>
      </c>
      <c r="R117" t="n">
        <v>0</v>
      </c>
      <c r="S117" t="n">
        <v>0</v>
      </c>
      <c r="T117" t="n">
        <v>0</v>
      </c>
      <c r="U117" t="n">
        <v>0</v>
      </c>
      <c r="V117" t="n">
        <v>5734</v>
      </c>
      <c r="W117" t="n">
        <v>91.2</v>
      </c>
      <c r="X117" t="n">
        <v>6</v>
      </c>
      <c r="Y117" t="n">
        <v>28</v>
      </c>
      <c r="Z117" t="n">
        <v>1570</v>
      </c>
      <c r="AA117" t="n">
        <v>42</v>
      </c>
      <c r="AB117" t="n">
        <v>2355</v>
      </c>
      <c r="AC117" t="n">
        <v>95</v>
      </c>
      <c r="AD117" t="n">
        <v>5333</v>
      </c>
      <c r="AE117" t="n">
        <v>1570</v>
      </c>
      <c r="AF117" t="n">
        <v>5333</v>
      </c>
      <c r="AG117" t="n">
        <v>100</v>
      </c>
      <c r="AH117" t="n">
        <v>7</v>
      </c>
      <c r="AI117" t="n">
        <v>0</v>
      </c>
      <c r="AJ117" t="n">
        <v>401</v>
      </c>
      <c r="AK117" t="inlineStr">
        <is>
          <t>MDS</t>
        </is>
      </c>
      <c r="AL117" t="inlineStr">
        <is>
          <t>Low ESTN</t>
        </is>
      </c>
      <c r="AM117" t="inlineStr">
        <is>
          <t>P3</t>
        </is>
      </c>
      <c r="AN117" t="inlineStr">
        <is>
          <t>Potential Excess</t>
        </is>
      </c>
      <c r="AO117" t="inlineStr">
        <is>
          <t>A</t>
        </is>
      </c>
      <c r="AP117" t="inlineStr"/>
      <c r="AQ117">
        <f>IF(AM117="P1",100,IF(AM117="P2",67,IF(AM117="P3",33,0)))</f>
        <v/>
      </c>
      <c r="AR117">
        <f>MIN(100,INT(IF(AI117&gt;0,AI117/Z117,AJ117/AD117)*100))</f>
        <v/>
      </c>
      <c r="AS117">
        <f>IF(AI117+AJ117=0,0,INT(100/D117))</f>
        <v/>
      </c>
      <c r="AT117">
        <f>IF(AO117="A",100,IF(AO117="B",67,33))</f>
        <v/>
      </c>
      <c r="AU117">
        <f>ROUND(0.40*AQ117+0.30*AR117+0.20*AS117+0.10*AT117,0)</f>
        <v/>
      </c>
      <c r="AV117" t="inlineStr">
        <is>
          <t>Opening inventory of 6174 and supply of 0 exceed the demand of 440, resulting in a projected surplus of 5734. This inventory levels violates the maximum stock threshold of 5333 units by 401 units, increasing holding risk.</t>
        </is>
      </c>
    </row>
    <row r="118">
      <c r="A118" t="inlineStr"/>
      <c r="B118" t="inlineStr">
        <is>
          <t>2026-04-17</t>
        </is>
      </c>
      <c r="C118" t="inlineStr">
        <is>
          <t>2026-04-05</t>
        </is>
      </c>
      <c r="D118" t="n">
        <v>9</v>
      </c>
      <c r="E118" t="inlineStr">
        <is>
          <t>SKU_0002</t>
        </is>
      </c>
      <c r="F118" t="inlineStr">
        <is>
          <t>F1</t>
        </is>
      </c>
      <c r="G118" t="inlineStr">
        <is>
          <t>F1</t>
        </is>
      </c>
      <c r="H118" t="inlineStr">
        <is>
          <t>Detroit</t>
        </is>
      </c>
      <c r="I118" t="inlineStr">
        <is>
          <t>Midwest</t>
        </is>
      </c>
      <c r="J118" t="n">
        <v>42.3314</v>
      </c>
      <c r="K118" t="n">
        <v>-83.0458</v>
      </c>
      <c r="L118" t="inlineStr">
        <is>
          <t>Factory</t>
        </is>
      </c>
      <c r="M118" t="inlineStr">
        <is>
          <t>Medical Devices &amp; Diagnostics</t>
        </is>
      </c>
      <c r="N118" t="n">
        <v>5734</v>
      </c>
      <c r="O118" t="n">
        <v>568</v>
      </c>
      <c r="P118" t="n">
        <v>0</v>
      </c>
      <c r="Q118" t="n">
        <v>568</v>
      </c>
      <c r="R118" t="n">
        <v>0</v>
      </c>
      <c r="S118" t="n">
        <v>1500</v>
      </c>
      <c r="T118" t="n">
        <v>1500</v>
      </c>
      <c r="U118" t="n">
        <v>0</v>
      </c>
      <c r="V118" t="n">
        <v>6666</v>
      </c>
      <c r="W118" t="n">
        <v>82.2</v>
      </c>
      <c r="X118" t="n">
        <v>6</v>
      </c>
      <c r="Y118" t="n">
        <v>28</v>
      </c>
      <c r="Z118" t="n">
        <v>1570</v>
      </c>
      <c r="AA118" t="n">
        <v>42</v>
      </c>
      <c r="AB118" t="n">
        <v>2355</v>
      </c>
      <c r="AC118" t="n">
        <v>95</v>
      </c>
      <c r="AD118" t="n">
        <v>5333</v>
      </c>
      <c r="AE118" t="n">
        <v>1570</v>
      </c>
      <c r="AF118" t="n">
        <v>5333</v>
      </c>
      <c r="AG118" t="n">
        <v>100</v>
      </c>
      <c r="AH118" t="n">
        <v>24</v>
      </c>
      <c r="AI118" t="n">
        <v>0</v>
      </c>
      <c r="AJ118" t="n">
        <v>1333</v>
      </c>
      <c r="AK118" t="inlineStr">
        <is>
          <t>MDS</t>
        </is>
      </c>
      <c r="AL118" t="inlineStr">
        <is>
          <t>None</t>
        </is>
      </c>
      <c r="AM118" t="inlineStr">
        <is>
          <t>None</t>
        </is>
      </c>
      <c r="AN118" t="inlineStr">
        <is>
          <t>Healthy</t>
        </is>
      </c>
      <c r="AO118" t="inlineStr">
        <is>
          <t>A</t>
        </is>
      </c>
      <c r="AP118" t="inlineStr"/>
      <c r="AQ118">
        <f>IF(AM118="P1",100,IF(AM118="P2",67,IF(AM118="P3",33,0)))</f>
        <v/>
      </c>
      <c r="AR118">
        <f>MIN(100,INT(IF(AI118&gt;0,AI118/Z118,AJ118/AD118)*100))</f>
        <v/>
      </c>
      <c r="AS118">
        <f>IF(AI118+AJ118=0,0,INT(100/D118))</f>
        <v/>
      </c>
      <c r="AT118">
        <f>IF(AO118="A",100,IF(AO118="B",67,33))</f>
        <v/>
      </c>
      <c r="AU118">
        <f>ROUND(0.40*AQ118+0.30*AR118+0.20*AS118+0.10*AT118,0)</f>
        <v/>
      </c>
      <c r="AV118" t="inlineStr"/>
    </row>
    <row r="119">
      <c r="A119" t="inlineStr"/>
      <c r="B119" t="inlineStr">
        <is>
          <t>2026-04-17</t>
        </is>
      </c>
      <c r="C119" t="inlineStr">
        <is>
          <t>2026-04-12</t>
        </is>
      </c>
      <c r="D119" t="n">
        <v>10</v>
      </c>
      <c r="E119" t="inlineStr">
        <is>
          <t>SKU_0002</t>
        </is>
      </c>
      <c r="F119" t="inlineStr">
        <is>
          <t>F1</t>
        </is>
      </c>
      <c r="G119" t="inlineStr">
        <is>
          <t>F1</t>
        </is>
      </c>
      <c r="H119" t="inlineStr">
        <is>
          <t>Detroit</t>
        </is>
      </c>
      <c r="I119" t="inlineStr">
        <is>
          <t>Midwest</t>
        </is>
      </c>
      <c r="J119" t="n">
        <v>42.3314</v>
      </c>
      <c r="K119" t="n">
        <v>-83.0458</v>
      </c>
      <c r="L119" t="inlineStr">
        <is>
          <t>Factory</t>
        </is>
      </c>
      <c r="M119" t="inlineStr">
        <is>
          <t>Medical Devices &amp; Diagnostics</t>
        </is>
      </c>
      <c r="N119" t="n">
        <v>6666</v>
      </c>
      <c r="O119" t="n">
        <v>0</v>
      </c>
      <c r="P119" t="n">
        <v>0</v>
      </c>
      <c r="Q119" t="n">
        <v>0</v>
      </c>
      <c r="R119" t="n">
        <v>0</v>
      </c>
      <c r="S119" t="n">
        <v>0</v>
      </c>
      <c r="T119" t="n">
        <v>0</v>
      </c>
      <c r="U119" t="n">
        <v>0</v>
      </c>
      <c r="V119" t="n">
        <v>6666</v>
      </c>
      <c r="W119" t="n">
        <v>0</v>
      </c>
      <c r="X119" t="n">
        <v>6</v>
      </c>
      <c r="Y119" t="n">
        <v>28</v>
      </c>
      <c r="Z119" t="n">
        <v>1570</v>
      </c>
      <c r="AA119" t="n">
        <v>42</v>
      </c>
      <c r="AB119" t="n">
        <v>2355</v>
      </c>
      <c r="AC119" t="n">
        <v>95</v>
      </c>
      <c r="AD119" t="n">
        <v>5333</v>
      </c>
      <c r="AE119" t="n">
        <v>1570</v>
      </c>
      <c r="AF119" t="n">
        <v>5333</v>
      </c>
      <c r="AG119" t="n">
        <v>100</v>
      </c>
      <c r="AH119" t="n">
        <v>24</v>
      </c>
      <c r="AI119" t="n">
        <v>0</v>
      </c>
      <c r="AJ119" t="n">
        <v>1333</v>
      </c>
      <c r="AK119" t="inlineStr">
        <is>
          <t>MDS</t>
        </is>
      </c>
      <c r="AL119" t="inlineStr">
        <is>
          <t>None</t>
        </is>
      </c>
      <c r="AM119" t="inlineStr">
        <is>
          <t>None</t>
        </is>
      </c>
      <c r="AN119" t="inlineStr">
        <is>
          <t>Healthy</t>
        </is>
      </c>
      <c r="AO119" t="inlineStr">
        <is>
          <t>A</t>
        </is>
      </c>
      <c r="AP119" t="inlineStr"/>
      <c r="AQ119">
        <f>IF(AM119="P1",100,IF(AM119="P2",67,IF(AM119="P3",33,0)))</f>
        <v/>
      </c>
      <c r="AR119">
        <f>MIN(100,INT(IF(AI119&gt;0,AI119/Z119,AJ119/AD119)*100))</f>
        <v/>
      </c>
      <c r="AS119">
        <f>IF(AI119+AJ119=0,0,INT(100/D119))</f>
        <v/>
      </c>
      <c r="AT119">
        <f>IF(AO119="A",100,IF(AO119="B",67,33))</f>
        <v/>
      </c>
      <c r="AU119">
        <f>ROUND(0.40*AQ119+0.30*AR119+0.20*AS119+0.10*AT119,0)</f>
        <v/>
      </c>
      <c r="AV119" t="inlineStr"/>
    </row>
    <row r="120">
      <c r="A120" t="inlineStr"/>
      <c r="B120" t="inlineStr">
        <is>
          <t>2026-04-17</t>
        </is>
      </c>
      <c r="C120" t="inlineStr">
        <is>
          <t>2026-04-19</t>
        </is>
      </c>
      <c r="D120" t="n">
        <v>11</v>
      </c>
      <c r="E120" t="inlineStr">
        <is>
          <t>SKU_0002</t>
        </is>
      </c>
      <c r="F120" t="inlineStr">
        <is>
          <t>F1</t>
        </is>
      </c>
      <c r="G120" t="inlineStr">
        <is>
          <t>F1</t>
        </is>
      </c>
      <c r="H120" t="inlineStr">
        <is>
          <t>Detroit</t>
        </is>
      </c>
      <c r="I120" t="inlineStr">
        <is>
          <t>Midwest</t>
        </is>
      </c>
      <c r="J120" t="n">
        <v>42.3314</v>
      </c>
      <c r="K120" t="n">
        <v>-83.0458</v>
      </c>
      <c r="L120" t="inlineStr">
        <is>
          <t>Factory</t>
        </is>
      </c>
      <c r="M120" t="inlineStr">
        <is>
          <t>Medical Devices &amp; Diagnostics</t>
        </is>
      </c>
      <c r="N120" t="n">
        <v>6666</v>
      </c>
      <c r="O120" t="n">
        <v>372</v>
      </c>
      <c r="P120" t="n">
        <v>0</v>
      </c>
      <c r="Q120" t="n">
        <v>372</v>
      </c>
      <c r="R120" t="n">
        <v>0</v>
      </c>
      <c r="S120" t="n">
        <v>0</v>
      </c>
      <c r="T120" t="n">
        <v>0</v>
      </c>
      <c r="U120" t="n">
        <v>0</v>
      </c>
      <c r="V120" t="n">
        <v>6294</v>
      </c>
      <c r="W120" t="n">
        <v>118.4</v>
      </c>
      <c r="X120" t="n">
        <v>6</v>
      </c>
      <c r="Y120" t="n">
        <v>28</v>
      </c>
      <c r="Z120" t="n">
        <v>1570</v>
      </c>
      <c r="AA120" t="n">
        <v>42</v>
      </c>
      <c r="AB120" t="n">
        <v>2355</v>
      </c>
      <c r="AC120" t="n">
        <v>95</v>
      </c>
      <c r="AD120" t="n">
        <v>5333</v>
      </c>
      <c r="AE120" t="n">
        <v>1570</v>
      </c>
      <c r="AF120" t="n">
        <v>5333</v>
      </c>
      <c r="AG120" t="n">
        <v>100</v>
      </c>
      <c r="AH120" t="n">
        <v>18</v>
      </c>
      <c r="AI120" t="n">
        <v>0</v>
      </c>
      <c r="AJ120" t="n">
        <v>961</v>
      </c>
      <c r="AK120" t="inlineStr">
        <is>
          <t>MDS</t>
        </is>
      </c>
      <c r="AL120" t="inlineStr">
        <is>
          <t>None</t>
        </is>
      </c>
      <c r="AM120" t="inlineStr">
        <is>
          <t>None</t>
        </is>
      </c>
      <c r="AN120" t="inlineStr">
        <is>
          <t>Healthy</t>
        </is>
      </c>
      <c r="AO120" t="inlineStr">
        <is>
          <t>A</t>
        </is>
      </c>
      <c r="AP120" t="inlineStr"/>
      <c r="AQ120">
        <f>IF(AM120="P1",100,IF(AM120="P2",67,IF(AM120="P3",33,0)))</f>
        <v/>
      </c>
      <c r="AR120">
        <f>MIN(100,INT(IF(AI120&gt;0,AI120/Z120,AJ120/AD120)*100))</f>
        <v/>
      </c>
      <c r="AS120">
        <f>IF(AI120+AJ120=0,0,INT(100/D120))</f>
        <v/>
      </c>
      <c r="AT120">
        <f>IF(AO120="A",100,IF(AO120="B",67,33))</f>
        <v/>
      </c>
      <c r="AU120">
        <f>ROUND(0.40*AQ120+0.30*AR120+0.20*AS120+0.10*AT120,0)</f>
        <v/>
      </c>
      <c r="AV120" t="inlineStr"/>
    </row>
    <row r="121">
      <c r="A121" t="inlineStr"/>
      <c r="B121" t="inlineStr">
        <is>
          <t>2026-04-17</t>
        </is>
      </c>
      <c r="C121" t="inlineStr">
        <is>
          <t>2026-04-26</t>
        </is>
      </c>
      <c r="D121" t="n">
        <v>12</v>
      </c>
      <c r="E121" t="inlineStr">
        <is>
          <t>SKU_0002</t>
        </is>
      </c>
      <c r="F121" t="inlineStr">
        <is>
          <t>F1</t>
        </is>
      </c>
      <c r="G121" t="inlineStr">
        <is>
          <t>F1</t>
        </is>
      </c>
      <c r="H121" t="inlineStr">
        <is>
          <t>Detroit</t>
        </is>
      </c>
      <c r="I121" t="inlineStr">
        <is>
          <t>Midwest</t>
        </is>
      </c>
      <c r="J121" t="n">
        <v>42.3314</v>
      </c>
      <c r="K121" t="n">
        <v>-83.0458</v>
      </c>
      <c r="L121" t="inlineStr">
        <is>
          <t>Factory</t>
        </is>
      </c>
      <c r="M121" t="inlineStr">
        <is>
          <t>Medical Devices &amp; Diagnostics</t>
        </is>
      </c>
      <c r="N121" t="n">
        <v>6294</v>
      </c>
      <c r="O121" t="n">
        <v>0</v>
      </c>
      <c r="P121" t="n">
        <v>0</v>
      </c>
      <c r="Q121" t="n">
        <v>0</v>
      </c>
      <c r="R121" t="n">
        <v>0</v>
      </c>
      <c r="S121" t="n">
        <v>3819</v>
      </c>
      <c r="T121" t="n">
        <v>3819</v>
      </c>
      <c r="U121" t="n">
        <v>0</v>
      </c>
      <c r="V121" t="n">
        <v>10113</v>
      </c>
      <c r="W121" t="n">
        <v>0</v>
      </c>
      <c r="X121" t="n">
        <v>6</v>
      </c>
      <c r="Y121" t="n">
        <v>28</v>
      </c>
      <c r="Z121" t="n">
        <v>1570</v>
      </c>
      <c r="AA121" t="n">
        <v>42</v>
      </c>
      <c r="AB121" t="n">
        <v>2355</v>
      </c>
      <c r="AC121" t="n">
        <v>95</v>
      </c>
      <c r="AD121" t="n">
        <v>5333</v>
      </c>
      <c r="AE121" t="n">
        <v>1570</v>
      </c>
      <c r="AF121" t="n">
        <v>5333</v>
      </c>
      <c r="AG121" t="n">
        <v>100</v>
      </c>
      <c r="AH121" t="n">
        <v>89</v>
      </c>
      <c r="AI121" t="n">
        <v>0</v>
      </c>
      <c r="AJ121" t="n">
        <v>4780</v>
      </c>
      <c r="AK121" t="inlineStr">
        <is>
          <t>MDS</t>
        </is>
      </c>
      <c r="AL121" t="inlineStr">
        <is>
          <t>None</t>
        </is>
      </c>
      <c r="AM121" t="inlineStr">
        <is>
          <t>None</t>
        </is>
      </c>
      <c r="AN121" t="inlineStr">
        <is>
          <t>Healthy</t>
        </is>
      </c>
      <c r="AO121" t="inlineStr">
        <is>
          <t>A</t>
        </is>
      </c>
      <c r="AP121" t="inlineStr"/>
      <c r="AQ121">
        <f>IF(AM121="P1",100,IF(AM121="P2",67,IF(AM121="P3",33,0)))</f>
        <v/>
      </c>
      <c r="AR121">
        <f>MIN(100,INT(IF(AI121&gt;0,AI121/Z121,AJ121/AD121)*100))</f>
        <v/>
      </c>
      <c r="AS121">
        <f>IF(AI121+AJ121=0,0,INT(100/D121))</f>
        <v/>
      </c>
      <c r="AT121">
        <f>IF(AO121="A",100,IF(AO121="B",67,33))</f>
        <v/>
      </c>
      <c r="AU121">
        <f>ROUND(0.40*AQ121+0.30*AR121+0.20*AS121+0.10*AT121,0)</f>
        <v/>
      </c>
      <c r="AV121" t="inlineStr"/>
    </row>
    <row r="122">
      <c r="A122" t="inlineStr">
        <is>
          <t>BD-24536581-00057</t>
        </is>
      </c>
      <c r="B122" t="inlineStr">
        <is>
          <t>2026-04-17</t>
        </is>
      </c>
      <c r="C122" t="inlineStr">
        <is>
          <t>2026-02-08</t>
        </is>
      </c>
      <c r="D122" t="n">
        <v>1</v>
      </c>
      <c r="E122" t="inlineStr">
        <is>
          <t>SKU_0003</t>
        </is>
      </c>
      <c r="F122" t="inlineStr">
        <is>
          <t>DC1</t>
        </is>
      </c>
      <c r="G122" t="inlineStr">
        <is>
          <t>F1</t>
        </is>
      </c>
      <c r="H122" t="inlineStr">
        <is>
          <t>New York</t>
        </is>
      </c>
      <c r="I122" t="inlineStr">
        <is>
          <t>Northeast</t>
        </is>
      </c>
      <c r="J122" t="n">
        <v>40.7128</v>
      </c>
      <c r="K122" t="n">
        <v>-74.006</v>
      </c>
      <c r="L122" t="inlineStr">
        <is>
          <t>DC</t>
        </is>
      </c>
      <c r="M122" t="inlineStr">
        <is>
          <t>Surgical &amp; Mechanical</t>
        </is>
      </c>
      <c r="N122" t="n">
        <v>64</v>
      </c>
      <c r="O122" t="n">
        <v>72</v>
      </c>
      <c r="P122" t="n">
        <v>0</v>
      </c>
      <c r="Q122" t="n">
        <v>72</v>
      </c>
      <c r="R122" t="n">
        <v>0</v>
      </c>
      <c r="S122" t="n">
        <v>0</v>
      </c>
      <c r="T122" t="n">
        <v>0</v>
      </c>
      <c r="U122" t="n">
        <v>8</v>
      </c>
      <c r="V122" t="n">
        <v>0</v>
      </c>
      <c r="W122" t="n">
        <v>0</v>
      </c>
      <c r="X122" t="n">
        <v>2</v>
      </c>
      <c r="Y122" t="n">
        <v>28</v>
      </c>
      <c r="Z122" t="n">
        <v>291</v>
      </c>
      <c r="AA122" t="n">
        <v>14</v>
      </c>
      <c r="AB122" t="n">
        <v>146</v>
      </c>
      <c r="AC122" t="n">
        <v>87</v>
      </c>
      <c r="AD122" t="n">
        <v>903</v>
      </c>
      <c r="AE122" t="n">
        <v>291</v>
      </c>
      <c r="AF122" t="n">
        <v>903</v>
      </c>
      <c r="AG122" t="n">
        <v>0</v>
      </c>
      <c r="AH122" t="n">
        <v>0</v>
      </c>
      <c r="AI122" t="n">
        <v>299</v>
      </c>
      <c r="AJ122" t="n">
        <v>0</v>
      </c>
      <c r="AK122" t="inlineStr">
        <is>
          <t>SM</t>
        </is>
      </c>
      <c r="AL122" t="inlineStr">
        <is>
          <t>Critical MSTN</t>
        </is>
      </c>
      <c r="AM122" t="inlineStr">
        <is>
          <t>P1</t>
        </is>
      </c>
      <c r="AN122" t="inlineStr">
        <is>
          <t>Critical Stockout</t>
        </is>
      </c>
      <c r="AO122" t="inlineStr">
        <is>
          <t>A</t>
        </is>
      </c>
      <c r="AP122" t="inlineStr"/>
      <c r="AQ122">
        <f>IF(AM122="P1",100,IF(AM122="P2",67,IF(AM122="P3",33,0)))</f>
        <v/>
      </c>
      <c r="AR122">
        <f>MIN(100,INT(IF(AI122&gt;0,AI122/Z122,AJ122/AD122)*100))</f>
        <v/>
      </c>
      <c r="AS122">
        <f>IF(AI122+AJ122=0,0,INT(100/D122))</f>
        <v/>
      </c>
      <c r="AT122">
        <f>IF(AO122="A",100,IF(AO122="B",67,33))</f>
        <v/>
      </c>
      <c r="AU122">
        <f>ROUND(0.40*AQ122+0.30*AR122+0.20*AS122+0.10*AT122,0)</f>
        <v/>
      </c>
      <c r="AV122" t="inlineStr">
        <is>
          <t>Opening inventory of 64 and supply of 0 are insufficient to cover the demand of 72, leading to a projected stockout of 8 units and a breach of the 291 unit safety stock target by 299 units.</t>
        </is>
      </c>
    </row>
    <row r="123">
      <c r="A123" t="inlineStr">
        <is>
          <t>BD-24536581-00058</t>
        </is>
      </c>
      <c r="B123" t="inlineStr">
        <is>
          <t>2026-04-17</t>
        </is>
      </c>
      <c r="C123" t="inlineStr">
        <is>
          <t>2026-02-15</t>
        </is>
      </c>
      <c r="D123" t="n">
        <v>2</v>
      </c>
      <c r="E123" t="inlineStr">
        <is>
          <t>SKU_0003</t>
        </is>
      </c>
      <c r="F123" t="inlineStr">
        <is>
          <t>DC1</t>
        </is>
      </c>
      <c r="G123" t="inlineStr">
        <is>
          <t>F1</t>
        </is>
      </c>
      <c r="H123" t="inlineStr">
        <is>
          <t>New York</t>
        </is>
      </c>
      <c r="I123" t="inlineStr">
        <is>
          <t>Northeast</t>
        </is>
      </c>
      <c r="J123" t="n">
        <v>40.7128</v>
      </c>
      <c r="K123" t="n">
        <v>-74.006</v>
      </c>
      <c r="L123" t="inlineStr">
        <is>
          <t>DC</t>
        </is>
      </c>
      <c r="M123" t="inlineStr">
        <is>
          <t>Surgical &amp; Mechanical</t>
        </is>
      </c>
      <c r="N123" t="n">
        <v>0</v>
      </c>
      <c r="O123" t="n">
        <v>73</v>
      </c>
      <c r="P123" t="n">
        <v>8</v>
      </c>
      <c r="Q123" t="n">
        <v>81</v>
      </c>
      <c r="R123" t="n">
        <v>138</v>
      </c>
      <c r="S123" t="n">
        <v>0</v>
      </c>
      <c r="T123" t="n">
        <v>138</v>
      </c>
      <c r="U123" t="n">
        <v>0</v>
      </c>
      <c r="V123" t="n">
        <v>57</v>
      </c>
      <c r="W123" t="n">
        <v>5.5</v>
      </c>
      <c r="X123" t="n">
        <v>2</v>
      </c>
      <c r="Y123" t="n">
        <v>28</v>
      </c>
      <c r="Z123" t="n">
        <v>291</v>
      </c>
      <c r="AA123" t="n">
        <v>14</v>
      </c>
      <c r="AB123" t="n">
        <v>146</v>
      </c>
      <c r="AC123" t="n">
        <v>87</v>
      </c>
      <c r="AD123" t="n">
        <v>903</v>
      </c>
      <c r="AE123" t="n">
        <v>291</v>
      </c>
      <c r="AF123" t="n">
        <v>903</v>
      </c>
      <c r="AG123" t="n">
        <v>19</v>
      </c>
      <c r="AH123" t="n">
        <v>0</v>
      </c>
      <c r="AI123" t="n">
        <v>234</v>
      </c>
      <c r="AJ123" t="n">
        <v>0</v>
      </c>
      <c r="AK123" t="inlineStr">
        <is>
          <t>SM</t>
        </is>
      </c>
      <c r="AL123" t="inlineStr">
        <is>
          <t>High MSTN</t>
        </is>
      </c>
      <c r="AM123" t="inlineStr">
        <is>
          <t>P1</t>
        </is>
      </c>
      <c r="AN123" t="inlineStr">
        <is>
          <t>Critical Stockout</t>
        </is>
      </c>
      <c r="AO123" t="inlineStr">
        <is>
          <t>A</t>
        </is>
      </c>
      <c r="AP123" t="inlineStr"/>
      <c r="AQ123">
        <f>IF(AM123="P1",100,IF(AM123="P2",67,IF(AM123="P3",33,0)))</f>
        <v/>
      </c>
      <c r="AR123">
        <f>MIN(100,INT(IF(AI123&gt;0,AI123/Z123,AJ123/AD123)*100))</f>
        <v/>
      </c>
      <c r="AS123">
        <f>IF(AI123+AJ123=0,0,INT(100/D123))</f>
        <v/>
      </c>
      <c r="AT123">
        <f>IF(AO123="A",100,IF(AO123="B",67,33))</f>
        <v/>
      </c>
      <c r="AU123">
        <f>ROUND(0.40*AQ123+0.30*AR123+0.20*AS123+0.10*AT123,0)</f>
        <v/>
      </c>
      <c r="AV123" t="inlineStr">
        <is>
          <t>Opening inventory of 0 and supply of 0 are insufficient to cover the demand of 73, leading to a projected stockout of 73 units and a breach of the 291 unit safety stock target by 364 units.</t>
        </is>
      </c>
    </row>
    <row r="124">
      <c r="A124" t="inlineStr">
        <is>
          <t>BD-24536581-00059</t>
        </is>
      </c>
      <c r="B124" t="inlineStr">
        <is>
          <t>2026-04-17</t>
        </is>
      </c>
      <c r="C124" t="inlineStr">
        <is>
          <t>2026-02-22</t>
        </is>
      </c>
      <c r="D124" t="n">
        <v>3</v>
      </c>
      <c r="E124" t="inlineStr">
        <is>
          <t>SKU_0003</t>
        </is>
      </c>
      <c r="F124" t="inlineStr">
        <is>
          <t>DC1</t>
        </is>
      </c>
      <c r="G124" t="inlineStr">
        <is>
          <t>F1</t>
        </is>
      </c>
      <c r="H124" t="inlineStr">
        <is>
          <t>New York</t>
        </is>
      </c>
      <c r="I124" t="inlineStr">
        <is>
          <t>Northeast</t>
        </is>
      </c>
      <c r="J124" t="n">
        <v>40.7128</v>
      </c>
      <c r="K124" t="n">
        <v>-74.006</v>
      </c>
      <c r="L124" t="inlineStr">
        <is>
          <t>DC</t>
        </is>
      </c>
      <c r="M124" t="inlineStr">
        <is>
          <t>Surgical &amp; Mechanical</t>
        </is>
      </c>
      <c r="N124" t="n">
        <v>57</v>
      </c>
      <c r="O124" t="n">
        <v>52</v>
      </c>
      <c r="P124" t="n">
        <v>0</v>
      </c>
      <c r="Q124" t="n">
        <v>52</v>
      </c>
      <c r="R124" t="n">
        <v>0</v>
      </c>
      <c r="S124" t="n">
        <v>0</v>
      </c>
      <c r="T124" t="n">
        <v>0</v>
      </c>
      <c r="U124" t="n">
        <v>0</v>
      </c>
      <c r="V124" t="n">
        <v>5</v>
      </c>
      <c r="W124" t="n">
        <v>0.7</v>
      </c>
      <c r="X124" t="n">
        <v>2</v>
      </c>
      <c r="Y124" t="n">
        <v>28</v>
      </c>
      <c r="Z124" t="n">
        <v>291</v>
      </c>
      <c r="AA124" t="n">
        <v>14</v>
      </c>
      <c r="AB124" t="n">
        <v>146</v>
      </c>
      <c r="AC124" t="n">
        <v>87</v>
      </c>
      <c r="AD124" t="n">
        <v>903</v>
      </c>
      <c r="AE124" t="n">
        <v>291</v>
      </c>
      <c r="AF124" t="n">
        <v>903</v>
      </c>
      <c r="AG124" t="n">
        <v>1</v>
      </c>
      <c r="AH124" t="n">
        <v>0</v>
      </c>
      <c r="AI124" t="n">
        <v>286</v>
      </c>
      <c r="AJ124" t="n">
        <v>0</v>
      </c>
      <c r="AK124" t="inlineStr">
        <is>
          <t>SM</t>
        </is>
      </c>
      <c r="AL124" t="inlineStr">
        <is>
          <t>High MSTN</t>
        </is>
      </c>
      <c r="AM124" t="inlineStr">
        <is>
          <t>P2</t>
        </is>
      </c>
      <c r="AN124" t="inlineStr">
        <is>
          <t>At-Risk Stockout</t>
        </is>
      </c>
      <c r="AO124" t="inlineStr">
        <is>
          <t>A</t>
        </is>
      </c>
      <c r="AP124" t="inlineStr"/>
      <c r="AQ124">
        <f>IF(AM124="P1",100,IF(AM124="P2",67,IF(AM124="P3",33,0)))</f>
        <v/>
      </c>
      <c r="AR124">
        <f>MIN(100,INT(IF(AI124&gt;0,AI124/Z124,AJ124/AD124)*100))</f>
        <v/>
      </c>
      <c r="AS124">
        <f>IF(AI124+AJ124=0,0,INT(100/D124))</f>
        <v/>
      </c>
      <c r="AT124">
        <f>IF(AO124="A",100,IF(AO124="B",67,33))</f>
        <v/>
      </c>
      <c r="AU124">
        <f>ROUND(0.40*AQ124+0.30*AR124+0.20*AS124+0.10*AT124,0)</f>
        <v/>
      </c>
      <c r="AV124" t="inlineStr">
        <is>
          <t>Opening inventory of 57 and supply of 0 are sufficient to cover the demand of 52. However, the projected closing inventory of 5 falls 286 units below the target safety stock requirement of 291, compromising the critical service level buffer.</t>
        </is>
      </c>
    </row>
    <row r="125">
      <c r="A125" t="inlineStr">
        <is>
          <t>BD-24536581-00060</t>
        </is>
      </c>
      <c r="B125" t="inlineStr">
        <is>
          <t>2026-04-17</t>
        </is>
      </c>
      <c r="C125" t="inlineStr">
        <is>
          <t>2026-03-01</t>
        </is>
      </c>
      <c r="D125" t="n">
        <v>4</v>
      </c>
      <c r="E125" t="inlineStr">
        <is>
          <t>SKU_0003</t>
        </is>
      </c>
      <c r="F125" t="inlineStr">
        <is>
          <t>DC1</t>
        </is>
      </c>
      <c r="G125" t="inlineStr">
        <is>
          <t>F1</t>
        </is>
      </c>
      <c r="H125" t="inlineStr">
        <is>
          <t>New York</t>
        </is>
      </c>
      <c r="I125" t="inlineStr">
        <is>
          <t>Northeast</t>
        </is>
      </c>
      <c r="J125" t="n">
        <v>40.7128</v>
      </c>
      <c r="K125" t="n">
        <v>-74.006</v>
      </c>
      <c r="L125" t="inlineStr">
        <is>
          <t>DC</t>
        </is>
      </c>
      <c r="M125" t="inlineStr">
        <is>
          <t>Surgical &amp; Mechanical</t>
        </is>
      </c>
      <c r="N125" t="n">
        <v>5</v>
      </c>
      <c r="O125" t="n">
        <v>80</v>
      </c>
      <c r="P125" t="n">
        <v>0</v>
      </c>
      <c r="Q125" t="n">
        <v>80</v>
      </c>
      <c r="R125" t="n">
        <v>170</v>
      </c>
      <c r="S125" t="n">
        <v>0</v>
      </c>
      <c r="T125" t="n">
        <v>170</v>
      </c>
      <c r="U125" t="n">
        <v>0</v>
      </c>
      <c r="V125" t="n">
        <v>95</v>
      </c>
      <c r="W125" t="n">
        <v>8.300000000000001</v>
      </c>
      <c r="X125" t="n">
        <v>2</v>
      </c>
      <c r="Y125" t="n">
        <v>28</v>
      </c>
      <c r="Z125" t="n">
        <v>291</v>
      </c>
      <c r="AA125" t="n">
        <v>14</v>
      </c>
      <c r="AB125" t="n">
        <v>146</v>
      </c>
      <c r="AC125" t="n">
        <v>87</v>
      </c>
      <c r="AD125" t="n">
        <v>903</v>
      </c>
      <c r="AE125" t="n">
        <v>291</v>
      </c>
      <c r="AF125" t="n">
        <v>903</v>
      </c>
      <c r="AG125" t="n">
        <v>32</v>
      </c>
      <c r="AH125" t="n">
        <v>0</v>
      </c>
      <c r="AI125" t="n">
        <v>196</v>
      </c>
      <c r="AJ125" t="n">
        <v>0</v>
      </c>
      <c r="AK125" t="inlineStr">
        <is>
          <t>SM</t>
        </is>
      </c>
      <c r="AL125" t="inlineStr">
        <is>
          <t>High MSTN</t>
        </is>
      </c>
      <c r="AM125" t="inlineStr">
        <is>
          <t>P2</t>
        </is>
      </c>
      <c r="AN125" t="inlineStr">
        <is>
          <t>At-Risk Stockout</t>
        </is>
      </c>
      <c r="AO125" t="inlineStr">
        <is>
          <t>A</t>
        </is>
      </c>
      <c r="AP125" t="inlineStr"/>
      <c r="AQ125">
        <f>IF(AM125="P1",100,IF(AM125="P2",67,IF(AM125="P3",33,0)))</f>
        <v/>
      </c>
      <c r="AR125">
        <f>MIN(100,INT(IF(AI125&gt;0,AI125/Z125,AJ125/AD125)*100))</f>
        <v/>
      </c>
      <c r="AS125">
        <f>IF(AI125+AJ125=0,0,INT(100/D125))</f>
        <v/>
      </c>
      <c r="AT125">
        <f>IF(AO125="A",100,IF(AO125="B",67,33))</f>
        <v/>
      </c>
      <c r="AU125">
        <f>ROUND(0.40*AQ125+0.30*AR125+0.20*AS125+0.10*AT125,0)</f>
        <v/>
      </c>
      <c r="AV125" t="inlineStr">
        <is>
          <t>Opening inventory of 5 and supply of 0 are insufficient to cover the demand of 80, leading to a projected stockout of 75 units and a breach of the 291 unit safety stock target by 366 units.</t>
        </is>
      </c>
    </row>
    <row r="126">
      <c r="A126" t="inlineStr">
        <is>
          <t>BD-24536581-00061</t>
        </is>
      </c>
      <c r="B126" t="inlineStr">
        <is>
          <t>2026-04-17</t>
        </is>
      </c>
      <c r="C126" t="inlineStr">
        <is>
          <t>2026-03-08</t>
        </is>
      </c>
      <c r="D126" t="n">
        <v>5</v>
      </c>
      <c r="E126" t="inlineStr">
        <is>
          <t>SKU_0003</t>
        </is>
      </c>
      <c r="F126" t="inlineStr">
        <is>
          <t>DC1</t>
        </is>
      </c>
      <c r="G126" t="inlineStr">
        <is>
          <t>F1</t>
        </is>
      </c>
      <c r="H126" t="inlineStr">
        <is>
          <t>New York</t>
        </is>
      </c>
      <c r="I126" t="inlineStr">
        <is>
          <t>Northeast</t>
        </is>
      </c>
      <c r="J126" t="n">
        <v>40.7128</v>
      </c>
      <c r="K126" t="n">
        <v>-74.006</v>
      </c>
      <c r="L126" t="inlineStr">
        <is>
          <t>DC</t>
        </is>
      </c>
      <c r="M126" t="inlineStr">
        <is>
          <t>Surgical &amp; Mechanical</t>
        </is>
      </c>
      <c r="N126" t="n">
        <v>95</v>
      </c>
      <c r="O126" t="n">
        <v>95</v>
      </c>
      <c r="P126" t="n">
        <v>0</v>
      </c>
      <c r="Q126" t="n">
        <v>95</v>
      </c>
      <c r="R126" t="n">
        <v>0</v>
      </c>
      <c r="S126" t="n">
        <v>0</v>
      </c>
      <c r="T126" t="n">
        <v>0</v>
      </c>
      <c r="U126" t="n">
        <v>0</v>
      </c>
      <c r="V126" t="n">
        <v>0</v>
      </c>
      <c r="W126" t="n">
        <v>0</v>
      </c>
      <c r="X126" t="n">
        <v>2</v>
      </c>
      <c r="Y126" t="n">
        <v>28</v>
      </c>
      <c r="Z126" t="n">
        <v>291</v>
      </c>
      <c r="AA126" t="n">
        <v>14</v>
      </c>
      <c r="AB126" t="n">
        <v>146</v>
      </c>
      <c r="AC126" t="n">
        <v>87</v>
      </c>
      <c r="AD126" t="n">
        <v>903</v>
      </c>
      <c r="AE126" t="n">
        <v>291</v>
      </c>
      <c r="AF126" t="n">
        <v>903</v>
      </c>
      <c r="AG126" t="n">
        <v>0</v>
      </c>
      <c r="AH126" t="n">
        <v>0</v>
      </c>
      <c r="AI126" t="n">
        <v>291</v>
      </c>
      <c r="AJ126" t="n">
        <v>0</v>
      </c>
      <c r="AK126" t="inlineStr">
        <is>
          <t>SM</t>
        </is>
      </c>
      <c r="AL126" t="inlineStr">
        <is>
          <t>Critical MSTN</t>
        </is>
      </c>
      <c r="AM126" t="inlineStr">
        <is>
          <t>P1</t>
        </is>
      </c>
      <c r="AN126" t="inlineStr">
        <is>
          <t>Critical Stockout</t>
        </is>
      </c>
      <c r="AO126" t="inlineStr">
        <is>
          <t>A</t>
        </is>
      </c>
      <c r="AP126" t="inlineStr"/>
      <c r="AQ126">
        <f>IF(AM126="P1",100,IF(AM126="P2",67,IF(AM126="P3",33,0)))</f>
        <v/>
      </c>
      <c r="AR126">
        <f>MIN(100,INT(IF(AI126&gt;0,AI126/Z126,AJ126/AD126)*100))</f>
        <v/>
      </c>
      <c r="AS126">
        <f>IF(AI126+AJ126=0,0,INT(100/D126))</f>
        <v/>
      </c>
      <c r="AT126">
        <f>IF(AO126="A",100,IF(AO126="B",67,33))</f>
        <v/>
      </c>
      <c r="AU126">
        <f>ROUND(0.40*AQ126+0.30*AR126+0.20*AS126+0.10*AT126,0)</f>
        <v/>
      </c>
      <c r="AV126" t="inlineStr">
        <is>
          <t>Opening inventory of 95 and supply of 0 are sufficient to cover the demand of 95. However, the projected closing inventory of 0 falls 291 units below the target safety stock requirement of 291, compromising the critical service level buffer.</t>
        </is>
      </c>
    </row>
    <row r="127">
      <c r="A127" t="inlineStr">
        <is>
          <t>BD-24536581-00062</t>
        </is>
      </c>
      <c r="B127" t="inlineStr">
        <is>
          <t>2026-04-17</t>
        </is>
      </c>
      <c r="C127" t="inlineStr">
        <is>
          <t>2026-03-15</t>
        </is>
      </c>
      <c r="D127" t="n">
        <v>6</v>
      </c>
      <c r="E127" t="inlineStr">
        <is>
          <t>SKU_0003</t>
        </is>
      </c>
      <c r="F127" t="inlineStr">
        <is>
          <t>DC1</t>
        </is>
      </c>
      <c r="G127" t="inlineStr">
        <is>
          <t>F1</t>
        </is>
      </c>
      <c r="H127" t="inlineStr">
        <is>
          <t>New York</t>
        </is>
      </c>
      <c r="I127" t="inlineStr">
        <is>
          <t>Northeast</t>
        </is>
      </c>
      <c r="J127" t="n">
        <v>40.7128</v>
      </c>
      <c r="K127" t="n">
        <v>-74.006</v>
      </c>
      <c r="L127" t="inlineStr">
        <is>
          <t>DC</t>
        </is>
      </c>
      <c r="M127" t="inlineStr">
        <is>
          <t>Surgical &amp; Mechanical</t>
        </is>
      </c>
      <c r="N127" t="n">
        <v>0</v>
      </c>
      <c r="O127" t="n">
        <v>74</v>
      </c>
      <c r="P127" t="n">
        <v>0</v>
      </c>
      <c r="Q127" t="n">
        <v>74</v>
      </c>
      <c r="R127" t="n">
        <v>0</v>
      </c>
      <c r="S127" t="n">
        <v>0</v>
      </c>
      <c r="T127" t="n">
        <v>0</v>
      </c>
      <c r="U127" t="n">
        <v>74</v>
      </c>
      <c r="V127" t="n">
        <v>0</v>
      </c>
      <c r="W127" t="n">
        <v>0</v>
      </c>
      <c r="X127" t="n">
        <v>2</v>
      </c>
      <c r="Y127" t="n">
        <v>28</v>
      </c>
      <c r="Z127" t="n">
        <v>291</v>
      </c>
      <c r="AA127" t="n">
        <v>14</v>
      </c>
      <c r="AB127" t="n">
        <v>146</v>
      </c>
      <c r="AC127" t="n">
        <v>87</v>
      </c>
      <c r="AD127" t="n">
        <v>903</v>
      </c>
      <c r="AE127" t="n">
        <v>291</v>
      </c>
      <c r="AF127" t="n">
        <v>903</v>
      </c>
      <c r="AG127" t="n">
        <v>0</v>
      </c>
      <c r="AH127" t="n">
        <v>0</v>
      </c>
      <c r="AI127" t="n">
        <v>365</v>
      </c>
      <c r="AJ127" t="n">
        <v>0</v>
      </c>
      <c r="AK127" t="inlineStr">
        <is>
          <t>SM</t>
        </is>
      </c>
      <c r="AL127" t="inlineStr">
        <is>
          <t>Critical MSTN</t>
        </is>
      </c>
      <c r="AM127" t="inlineStr">
        <is>
          <t>P1</t>
        </is>
      </c>
      <c r="AN127" t="inlineStr">
        <is>
          <t>Critical Stockout</t>
        </is>
      </c>
      <c r="AO127" t="inlineStr">
        <is>
          <t>A</t>
        </is>
      </c>
      <c r="AP127" t="inlineStr"/>
      <c r="AQ127">
        <f>IF(AM127="P1",100,IF(AM127="P2",67,IF(AM127="P3",33,0)))</f>
        <v/>
      </c>
      <c r="AR127">
        <f>MIN(100,INT(IF(AI127&gt;0,AI127/Z127,AJ127/AD127)*100))</f>
        <v/>
      </c>
      <c r="AS127">
        <f>IF(AI127+AJ127=0,0,INT(100/D127))</f>
        <v/>
      </c>
      <c r="AT127">
        <f>IF(AO127="A",100,IF(AO127="B",67,33))</f>
        <v/>
      </c>
      <c r="AU127">
        <f>ROUND(0.40*AQ127+0.30*AR127+0.20*AS127+0.10*AT127,0)</f>
        <v/>
      </c>
      <c r="AV127" t="inlineStr">
        <is>
          <t>Opening inventory of 0 and supply of 0 are insufficient to cover the demand of 74, leading to a projected stockout of 74 units and a breach of the 291 unit safety stock target by 365 units.</t>
        </is>
      </c>
    </row>
    <row r="128">
      <c r="A128" t="inlineStr">
        <is>
          <t>BD-24536581-00063</t>
        </is>
      </c>
      <c r="B128" t="inlineStr">
        <is>
          <t>2026-04-17</t>
        </is>
      </c>
      <c r="C128" t="inlineStr">
        <is>
          <t>2026-03-22</t>
        </is>
      </c>
      <c r="D128" t="n">
        <v>7</v>
      </c>
      <c r="E128" t="inlineStr">
        <is>
          <t>SKU_0003</t>
        </is>
      </c>
      <c r="F128" t="inlineStr">
        <is>
          <t>DC1</t>
        </is>
      </c>
      <c r="G128" t="inlineStr">
        <is>
          <t>F1</t>
        </is>
      </c>
      <c r="H128" t="inlineStr">
        <is>
          <t>New York</t>
        </is>
      </c>
      <c r="I128" t="inlineStr">
        <is>
          <t>Northeast</t>
        </is>
      </c>
      <c r="J128" t="n">
        <v>40.7128</v>
      </c>
      <c r="K128" t="n">
        <v>-74.006</v>
      </c>
      <c r="L128" t="inlineStr">
        <is>
          <t>DC</t>
        </is>
      </c>
      <c r="M128" t="inlineStr">
        <is>
          <t>Surgical &amp; Mechanical</t>
        </is>
      </c>
      <c r="N128" t="n">
        <v>0</v>
      </c>
      <c r="O128" t="n">
        <v>69</v>
      </c>
      <c r="P128" t="n">
        <v>74</v>
      </c>
      <c r="Q128" t="n">
        <v>143</v>
      </c>
      <c r="R128" t="n">
        <v>0</v>
      </c>
      <c r="S128" t="n">
        <v>112</v>
      </c>
      <c r="T128" t="n">
        <v>112</v>
      </c>
      <c r="U128" t="n">
        <v>31</v>
      </c>
      <c r="V128" t="n">
        <v>0</v>
      </c>
      <c r="W128" t="n">
        <v>0</v>
      </c>
      <c r="X128" t="n">
        <v>2</v>
      </c>
      <c r="Y128" t="n">
        <v>28</v>
      </c>
      <c r="Z128" t="n">
        <v>291</v>
      </c>
      <c r="AA128" t="n">
        <v>14</v>
      </c>
      <c r="AB128" t="n">
        <v>146</v>
      </c>
      <c r="AC128" t="n">
        <v>87</v>
      </c>
      <c r="AD128" t="n">
        <v>903</v>
      </c>
      <c r="AE128" t="n">
        <v>291</v>
      </c>
      <c r="AF128" t="n">
        <v>903</v>
      </c>
      <c r="AG128" t="n">
        <v>0</v>
      </c>
      <c r="AH128" t="n">
        <v>0</v>
      </c>
      <c r="AI128" t="n">
        <v>322</v>
      </c>
      <c r="AJ128" t="n">
        <v>0</v>
      </c>
      <c r="AK128" t="inlineStr">
        <is>
          <t>SM</t>
        </is>
      </c>
      <c r="AL128" t="inlineStr">
        <is>
          <t>Critical MSTN</t>
        </is>
      </c>
      <c r="AM128" t="inlineStr">
        <is>
          <t>P1</t>
        </is>
      </c>
      <c r="AN128" t="inlineStr">
        <is>
          <t>Critical Stockout</t>
        </is>
      </c>
      <c r="AO128" t="inlineStr">
        <is>
          <t>A</t>
        </is>
      </c>
      <c r="AP128" t="inlineStr"/>
      <c r="AQ128">
        <f>IF(AM128="P1",100,IF(AM128="P2",67,IF(AM128="P3",33,0)))</f>
        <v/>
      </c>
      <c r="AR128">
        <f>MIN(100,INT(IF(AI128&gt;0,AI128/Z128,AJ128/AD128)*100))</f>
        <v/>
      </c>
      <c r="AS128">
        <f>IF(AI128+AJ128=0,0,INT(100/D128))</f>
        <v/>
      </c>
      <c r="AT128">
        <f>IF(AO128="A",100,IF(AO128="B",67,33))</f>
        <v/>
      </c>
      <c r="AU128">
        <f>ROUND(0.40*AQ128+0.30*AR128+0.20*AS128+0.10*AT128,0)</f>
        <v/>
      </c>
      <c r="AV128" t="inlineStr">
        <is>
          <t>Opening inventory of 0 and supply of 112 are sufficient to cover the demand of 69. However, the projected closing inventory of 0 falls 291 units below the target safety stock requirement of 291, compromising the critical service level buffer.</t>
        </is>
      </c>
    </row>
    <row r="129">
      <c r="A129" t="inlineStr">
        <is>
          <t>BD-24536581-00064</t>
        </is>
      </c>
      <c r="B129" t="inlineStr">
        <is>
          <t>2026-04-17</t>
        </is>
      </c>
      <c r="C129" t="inlineStr">
        <is>
          <t>2026-03-29</t>
        </is>
      </c>
      <c r="D129" t="n">
        <v>8</v>
      </c>
      <c r="E129" t="inlineStr">
        <is>
          <t>SKU_0003</t>
        </is>
      </c>
      <c r="F129" t="inlineStr">
        <is>
          <t>DC1</t>
        </is>
      </c>
      <c r="G129" t="inlineStr">
        <is>
          <t>F1</t>
        </is>
      </c>
      <c r="H129" t="inlineStr">
        <is>
          <t>New York</t>
        </is>
      </c>
      <c r="I129" t="inlineStr">
        <is>
          <t>Northeast</t>
        </is>
      </c>
      <c r="J129" t="n">
        <v>40.7128</v>
      </c>
      <c r="K129" t="n">
        <v>-74.006</v>
      </c>
      <c r="L129" t="inlineStr">
        <is>
          <t>DC</t>
        </is>
      </c>
      <c r="M129" t="inlineStr">
        <is>
          <t>Surgical &amp; Mechanical</t>
        </is>
      </c>
      <c r="N129" t="n">
        <v>0</v>
      </c>
      <c r="O129" t="n">
        <v>86</v>
      </c>
      <c r="P129" t="n">
        <v>31</v>
      </c>
      <c r="Q129" t="n">
        <v>117</v>
      </c>
      <c r="R129" t="n">
        <v>0</v>
      </c>
      <c r="S129" t="n">
        <v>0</v>
      </c>
      <c r="T129" t="n">
        <v>0</v>
      </c>
      <c r="U129" t="n">
        <v>117</v>
      </c>
      <c r="V129" t="n">
        <v>0</v>
      </c>
      <c r="W129" t="n">
        <v>0</v>
      </c>
      <c r="X129" t="n">
        <v>2</v>
      </c>
      <c r="Y129" t="n">
        <v>28</v>
      </c>
      <c r="Z129" t="n">
        <v>291</v>
      </c>
      <c r="AA129" t="n">
        <v>14</v>
      </c>
      <c r="AB129" t="n">
        <v>146</v>
      </c>
      <c r="AC129" t="n">
        <v>87</v>
      </c>
      <c r="AD129" t="n">
        <v>903</v>
      </c>
      <c r="AE129" t="n">
        <v>291</v>
      </c>
      <c r="AF129" t="n">
        <v>903</v>
      </c>
      <c r="AG129" t="n">
        <v>0</v>
      </c>
      <c r="AH129" t="n">
        <v>0</v>
      </c>
      <c r="AI129" t="n">
        <v>408</v>
      </c>
      <c r="AJ129" t="n">
        <v>0</v>
      </c>
      <c r="AK129" t="inlineStr">
        <is>
          <t>SM</t>
        </is>
      </c>
      <c r="AL129" t="inlineStr">
        <is>
          <t>Critical MSTN</t>
        </is>
      </c>
      <c r="AM129" t="inlineStr">
        <is>
          <t>P1</t>
        </is>
      </c>
      <c r="AN129" t="inlineStr">
        <is>
          <t>Critical Stockout</t>
        </is>
      </c>
      <c r="AO129" t="inlineStr">
        <is>
          <t>A</t>
        </is>
      </c>
      <c r="AP129" t="inlineStr"/>
      <c r="AQ129">
        <f>IF(AM129="P1",100,IF(AM129="P2",67,IF(AM129="P3",33,0)))</f>
        <v/>
      </c>
      <c r="AR129">
        <f>MIN(100,INT(IF(AI129&gt;0,AI129/Z129,AJ129/AD129)*100))</f>
        <v/>
      </c>
      <c r="AS129">
        <f>IF(AI129+AJ129=0,0,INT(100/D129))</f>
        <v/>
      </c>
      <c r="AT129">
        <f>IF(AO129="A",100,IF(AO129="B",67,33))</f>
        <v/>
      </c>
      <c r="AU129">
        <f>ROUND(0.40*AQ129+0.30*AR129+0.20*AS129+0.10*AT129,0)</f>
        <v/>
      </c>
      <c r="AV129" t="inlineStr">
        <is>
          <t>Opening inventory of 0 and supply of 0 are insufficient to cover the demand of 86, leading to a projected stockout of 86 units and a breach of the 291 unit safety stock target by 377 units.</t>
        </is>
      </c>
    </row>
    <row r="130">
      <c r="A130" t="inlineStr">
        <is>
          <t>BD-24536581-00065</t>
        </is>
      </c>
      <c r="B130" t="inlineStr">
        <is>
          <t>2026-04-17</t>
        </is>
      </c>
      <c r="C130" t="inlineStr">
        <is>
          <t>2026-04-05</t>
        </is>
      </c>
      <c r="D130" t="n">
        <v>9</v>
      </c>
      <c r="E130" t="inlineStr">
        <is>
          <t>SKU_0003</t>
        </is>
      </c>
      <c r="F130" t="inlineStr">
        <is>
          <t>DC1</t>
        </is>
      </c>
      <c r="G130" t="inlineStr">
        <is>
          <t>F1</t>
        </is>
      </c>
      <c r="H130" t="inlineStr">
        <is>
          <t>New York</t>
        </is>
      </c>
      <c r="I130" t="inlineStr">
        <is>
          <t>Northeast</t>
        </is>
      </c>
      <c r="J130" t="n">
        <v>40.7128</v>
      </c>
      <c r="K130" t="n">
        <v>-74.006</v>
      </c>
      <c r="L130" t="inlineStr">
        <is>
          <t>DC</t>
        </is>
      </c>
      <c r="M130" t="inlineStr">
        <is>
          <t>Surgical &amp; Mechanical</t>
        </is>
      </c>
      <c r="N130" t="n">
        <v>0</v>
      </c>
      <c r="O130" t="n">
        <v>58</v>
      </c>
      <c r="P130" t="n">
        <v>117</v>
      </c>
      <c r="Q130" t="n">
        <v>175</v>
      </c>
      <c r="R130" t="n">
        <v>0</v>
      </c>
      <c r="S130" t="n">
        <v>110</v>
      </c>
      <c r="T130" t="n">
        <v>110</v>
      </c>
      <c r="U130" t="n">
        <v>65</v>
      </c>
      <c r="V130" t="n">
        <v>0</v>
      </c>
      <c r="W130" t="n">
        <v>0</v>
      </c>
      <c r="X130" t="n">
        <v>2</v>
      </c>
      <c r="Y130" t="n">
        <v>28</v>
      </c>
      <c r="Z130" t="n">
        <v>291</v>
      </c>
      <c r="AA130" t="n">
        <v>14</v>
      </c>
      <c r="AB130" t="n">
        <v>146</v>
      </c>
      <c r="AC130" t="n">
        <v>87</v>
      </c>
      <c r="AD130" t="n">
        <v>903</v>
      </c>
      <c r="AE130" t="n">
        <v>291</v>
      </c>
      <c r="AF130" t="n">
        <v>903</v>
      </c>
      <c r="AG130" t="n">
        <v>0</v>
      </c>
      <c r="AH130" t="n">
        <v>0</v>
      </c>
      <c r="AI130" t="n">
        <v>356</v>
      </c>
      <c r="AJ130" t="n">
        <v>0</v>
      </c>
      <c r="AK130" t="inlineStr">
        <is>
          <t>SM</t>
        </is>
      </c>
      <c r="AL130" t="inlineStr">
        <is>
          <t>Critical MSTN</t>
        </is>
      </c>
      <c r="AM130" t="inlineStr">
        <is>
          <t>P1</t>
        </is>
      </c>
      <c r="AN130" t="inlineStr">
        <is>
          <t>Critical Stockout</t>
        </is>
      </c>
      <c r="AO130" t="inlineStr">
        <is>
          <t>A</t>
        </is>
      </c>
      <c r="AP130" t="inlineStr"/>
      <c r="AQ130">
        <f>IF(AM130="P1",100,IF(AM130="P2",67,IF(AM130="P3",33,0)))</f>
        <v/>
      </c>
      <c r="AR130">
        <f>MIN(100,INT(IF(AI130&gt;0,AI130/Z130,AJ130/AD130)*100))</f>
        <v/>
      </c>
      <c r="AS130">
        <f>IF(AI130+AJ130=0,0,INT(100/D130))</f>
        <v/>
      </c>
      <c r="AT130">
        <f>IF(AO130="A",100,IF(AO130="B",67,33))</f>
        <v/>
      </c>
      <c r="AU130">
        <f>ROUND(0.40*AQ130+0.30*AR130+0.20*AS130+0.10*AT130,0)</f>
        <v/>
      </c>
      <c r="AV130" t="inlineStr">
        <is>
          <t>Opening inventory of 0 and supply of 110 are sufficient to cover the demand of 58. However, the projected closing inventory of 0 falls 291 units below the target safety stock requirement of 291, compromising the critical service level buffer.</t>
        </is>
      </c>
    </row>
    <row r="131">
      <c r="A131" t="inlineStr">
        <is>
          <t>BD-24536581-00066</t>
        </is>
      </c>
      <c r="B131" t="inlineStr">
        <is>
          <t>2026-04-17</t>
        </is>
      </c>
      <c r="C131" t="inlineStr">
        <is>
          <t>2026-04-12</t>
        </is>
      </c>
      <c r="D131" t="n">
        <v>10</v>
      </c>
      <c r="E131" t="inlineStr">
        <is>
          <t>SKU_0003</t>
        </is>
      </c>
      <c r="F131" t="inlineStr">
        <is>
          <t>DC1</t>
        </is>
      </c>
      <c r="G131" t="inlineStr">
        <is>
          <t>F1</t>
        </is>
      </c>
      <c r="H131" t="inlineStr">
        <is>
          <t>New York</t>
        </is>
      </c>
      <c r="I131" t="inlineStr">
        <is>
          <t>Northeast</t>
        </is>
      </c>
      <c r="J131" t="n">
        <v>40.7128</v>
      </c>
      <c r="K131" t="n">
        <v>-74.006</v>
      </c>
      <c r="L131" t="inlineStr">
        <is>
          <t>DC</t>
        </is>
      </c>
      <c r="M131" t="inlineStr">
        <is>
          <t>Surgical &amp; Mechanical</t>
        </is>
      </c>
      <c r="N131" t="n">
        <v>0</v>
      </c>
      <c r="O131" t="n">
        <v>82</v>
      </c>
      <c r="P131" t="n">
        <v>65</v>
      </c>
      <c r="Q131" t="n">
        <v>147</v>
      </c>
      <c r="R131" t="n">
        <v>0</v>
      </c>
      <c r="S131" t="n">
        <v>0</v>
      </c>
      <c r="T131" t="n">
        <v>0</v>
      </c>
      <c r="U131" t="n">
        <v>147</v>
      </c>
      <c r="V131" t="n">
        <v>0</v>
      </c>
      <c r="W131" t="n">
        <v>0</v>
      </c>
      <c r="X131" t="n">
        <v>2</v>
      </c>
      <c r="Y131" t="n">
        <v>28</v>
      </c>
      <c r="Z131" t="n">
        <v>291</v>
      </c>
      <c r="AA131" t="n">
        <v>14</v>
      </c>
      <c r="AB131" t="n">
        <v>146</v>
      </c>
      <c r="AC131" t="n">
        <v>87</v>
      </c>
      <c r="AD131" t="n">
        <v>903</v>
      </c>
      <c r="AE131" t="n">
        <v>291</v>
      </c>
      <c r="AF131" t="n">
        <v>903</v>
      </c>
      <c r="AG131" t="n">
        <v>0</v>
      </c>
      <c r="AH131" t="n">
        <v>0</v>
      </c>
      <c r="AI131" t="n">
        <v>438</v>
      </c>
      <c r="AJ131" t="n">
        <v>0</v>
      </c>
      <c r="AK131" t="inlineStr">
        <is>
          <t>SM</t>
        </is>
      </c>
      <c r="AL131" t="inlineStr">
        <is>
          <t>Critical MSTN</t>
        </is>
      </c>
      <c r="AM131" t="inlineStr">
        <is>
          <t>P1</t>
        </is>
      </c>
      <c r="AN131" t="inlineStr">
        <is>
          <t>Critical Stockout</t>
        </is>
      </c>
      <c r="AO131" t="inlineStr">
        <is>
          <t>A</t>
        </is>
      </c>
      <c r="AP131" t="inlineStr"/>
      <c r="AQ131">
        <f>IF(AM131="P1",100,IF(AM131="P2",67,IF(AM131="P3",33,0)))</f>
        <v/>
      </c>
      <c r="AR131">
        <f>MIN(100,INT(IF(AI131&gt;0,AI131/Z131,AJ131/AD131)*100))</f>
        <v/>
      </c>
      <c r="AS131">
        <f>IF(AI131+AJ131=0,0,INT(100/D131))</f>
        <v/>
      </c>
      <c r="AT131">
        <f>IF(AO131="A",100,IF(AO131="B",67,33))</f>
        <v/>
      </c>
      <c r="AU131">
        <f>ROUND(0.40*AQ131+0.30*AR131+0.20*AS131+0.10*AT131,0)</f>
        <v/>
      </c>
      <c r="AV131" t="inlineStr">
        <is>
          <t>Opening inventory of 0 and supply of 0 are insufficient to cover the demand of 82, leading to a projected stockout of 82 units and a breach of the 291 unit safety stock target by 373 units.</t>
        </is>
      </c>
    </row>
    <row r="132">
      <c r="A132" t="inlineStr">
        <is>
          <t>BD-24536581-00067</t>
        </is>
      </c>
      <c r="B132" t="inlineStr">
        <is>
          <t>2026-04-17</t>
        </is>
      </c>
      <c r="C132" t="inlineStr">
        <is>
          <t>2026-04-19</t>
        </is>
      </c>
      <c r="D132" t="n">
        <v>11</v>
      </c>
      <c r="E132" t="inlineStr">
        <is>
          <t>SKU_0003</t>
        </is>
      </c>
      <c r="F132" t="inlineStr">
        <is>
          <t>DC1</t>
        </is>
      </c>
      <c r="G132" t="inlineStr">
        <is>
          <t>F1</t>
        </is>
      </c>
      <c r="H132" t="inlineStr">
        <is>
          <t>New York</t>
        </is>
      </c>
      <c r="I132" t="inlineStr">
        <is>
          <t>Northeast</t>
        </is>
      </c>
      <c r="J132" t="n">
        <v>40.7128</v>
      </c>
      <c r="K132" t="n">
        <v>-74.006</v>
      </c>
      <c r="L132" t="inlineStr">
        <is>
          <t>DC</t>
        </is>
      </c>
      <c r="M132" t="inlineStr">
        <is>
          <t>Surgical &amp; Mechanical</t>
        </is>
      </c>
      <c r="N132" t="n">
        <v>0</v>
      </c>
      <c r="O132" t="n">
        <v>55</v>
      </c>
      <c r="P132" t="n">
        <v>147</v>
      </c>
      <c r="Q132" t="n">
        <v>202</v>
      </c>
      <c r="R132" t="n">
        <v>0</v>
      </c>
      <c r="S132" t="n">
        <v>0</v>
      </c>
      <c r="T132" t="n">
        <v>0</v>
      </c>
      <c r="U132" t="n">
        <v>202</v>
      </c>
      <c r="V132" t="n">
        <v>0</v>
      </c>
      <c r="W132" t="n">
        <v>0</v>
      </c>
      <c r="X132" t="n">
        <v>2</v>
      </c>
      <c r="Y132" t="n">
        <v>28</v>
      </c>
      <c r="Z132" t="n">
        <v>291</v>
      </c>
      <c r="AA132" t="n">
        <v>14</v>
      </c>
      <c r="AB132" t="n">
        <v>146</v>
      </c>
      <c r="AC132" t="n">
        <v>87</v>
      </c>
      <c r="AD132" t="n">
        <v>903</v>
      </c>
      <c r="AE132" t="n">
        <v>291</v>
      </c>
      <c r="AF132" t="n">
        <v>903</v>
      </c>
      <c r="AG132" t="n">
        <v>0</v>
      </c>
      <c r="AH132" t="n">
        <v>0</v>
      </c>
      <c r="AI132" t="n">
        <v>493</v>
      </c>
      <c r="AJ132" t="n">
        <v>0</v>
      </c>
      <c r="AK132" t="inlineStr">
        <is>
          <t>SM</t>
        </is>
      </c>
      <c r="AL132" t="inlineStr">
        <is>
          <t>Critical MSTN</t>
        </is>
      </c>
      <c r="AM132" t="inlineStr">
        <is>
          <t>P1</t>
        </is>
      </c>
      <c r="AN132" t="inlineStr">
        <is>
          <t>Critical Stockout</t>
        </is>
      </c>
      <c r="AO132" t="inlineStr">
        <is>
          <t>A</t>
        </is>
      </c>
      <c r="AP132" t="inlineStr"/>
      <c r="AQ132">
        <f>IF(AM132="P1",100,IF(AM132="P2",67,IF(AM132="P3",33,0)))</f>
        <v/>
      </c>
      <c r="AR132">
        <f>MIN(100,INT(IF(AI132&gt;0,AI132/Z132,AJ132/AD132)*100))</f>
        <v/>
      </c>
      <c r="AS132">
        <f>IF(AI132+AJ132=0,0,INT(100/D132))</f>
        <v/>
      </c>
      <c r="AT132">
        <f>IF(AO132="A",100,IF(AO132="B",67,33))</f>
        <v/>
      </c>
      <c r="AU132">
        <f>ROUND(0.40*AQ132+0.30*AR132+0.20*AS132+0.10*AT132,0)</f>
        <v/>
      </c>
      <c r="AV132" t="inlineStr">
        <is>
          <t>Opening inventory of 0 and supply of 0 are insufficient to cover the demand of 55, leading to a projected stockout of 55 units and a breach of the 291 unit safety stock target by 346 units.</t>
        </is>
      </c>
    </row>
    <row r="133">
      <c r="A133" t="inlineStr">
        <is>
          <t>BD-24536581-00068</t>
        </is>
      </c>
      <c r="B133" t="inlineStr">
        <is>
          <t>2026-04-17</t>
        </is>
      </c>
      <c r="C133" t="inlineStr">
        <is>
          <t>2026-04-26</t>
        </is>
      </c>
      <c r="D133" t="n">
        <v>12</v>
      </c>
      <c r="E133" t="inlineStr">
        <is>
          <t>SKU_0003</t>
        </is>
      </c>
      <c r="F133" t="inlineStr">
        <is>
          <t>DC1</t>
        </is>
      </c>
      <c r="G133" t="inlineStr">
        <is>
          <t>F1</t>
        </is>
      </c>
      <c r="H133" t="inlineStr">
        <is>
          <t>New York</t>
        </is>
      </c>
      <c r="I133" t="inlineStr">
        <is>
          <t>Northeast</t>
        </is>
      </c>
      <c r="J133" t="n">
        <v>40.7128</v>
      </c>
      <c r="K133" t="n">
        <v>-74.006</v>
      </c>
      <c r="L133" t="inlineStr">
        <is>
          <t>DC</t>
        </is>
      </c>
      <c r="M133" t="inlineStr">
        <is>
          <t>Surgical &amp; Mechanical</t>
        </is>
      </c>
      <c r="N133" t="n">
        <v>0</v>
      </c>
      <c r="O133" t="n">
        <v>43</v>
      </c>
      <c r="P133" t="n">
        <v>202</v>
      </c>
      <c r="Q133" t="n">
        <v>245</v>
      </c>
      <c r="R133" t="n">
        <v>0</v>
      </c>
      <c r="S133" t="n">
        <v>0</v>
      </c>
      <c r="T133" t="n">
        <v>0</v>
      </c>
      <c r="U133" t="n">
        <v>245</v>
      </c>
      <c r="V133" t="n">
        <v>0</v>
      </c>
      <c r="W133" t="n">
        <v>0</v>
      </c>
      <c r="X133" t="n">
        <v>2</v>
      </c>
      <c r="Y133" t="n">
        <v>28</v>
      </c>
      <c r="Z133" t="n">
        <v>291</v>
      </c>
      <c r="AA133" t="n">
        <v>14</v>
      </c>
      <c r="AB133" t="n">
        <v>146</v>
      </c>
      <c r="AC133" t="n">
        <v>87</v>
      </c>
      <c r="AD133" t="n">
        <v>903</v>
      </c>
      <c r="AE133" t="n">
        <v>291</v>
      </c>
      <c r="AF133" t="n">
        <v>903</v>
      </c>
      <c r="AG133" t="n">
        <v>0</v>
      </c>
      <c r="AH133" t="n">
        <v>0</v>
      </c>
      <c r="AI133" t="n">
        <v>536</v>
      </c>
      <c r="AJ133" t="n">
        <v>0</v>
      </c>
      <c r="AK133" t="inlineStr">
        <is>
          <t>SM</t>
        </is>
      </c>
      <c r="AL133" t="inlineStr">
        <is>
          <t>Critical MSTN</t>
        </is>
      </c>
      <c r="AM133" t="inlineStr">
        <is>
          <t>P1</t>
        </is>
      </c>
      <c r="AN133" t="inlineStr">
        <is>
          <t>Critical Stockout</t>
        </is>
      </c>
      <c r="AO133" t="inlineStr">
        <is>
          <t>A</t>
        </is>
      </c>
      <c r="AP133" t="inlineStr"/>
      <c r="AQ133">
        <f>IF(AM133="P1",100,IF(AM133="P2",67,IF(AM133="P3",33,0)))</f>
        <v/>
      </c>
      <c r="AR133">
        <f>MIN(100,INT(IF(AI133&gt;0,AI133/Z133,AJ133/AD133)*100))</f>
        <v/>
      </c>
      <c r="AS133">
        <f>IF(AI133+AJ133=0,0,INT(100/D133))</f>
        <v/>
      </c>
      <c r="AT133">
        <f>IF(AO133="A",100,IF(AO133="B",67,33))</f>
        <v/>
      </c>
      <c r="AU133">
        <f>ROUND(0.40*AQ133+0.30*AR133+0.20*AS133+0.10*AT133,0)</f>
        <v/>
      </c>
      <c r="AV133" t="inlineStr">
        <is>
          <t>Opening inventory of 0 and supply of 0 are insufficient to cover the demand of 43, leading to a projected stockout of 43 units and a breach of the 291 unit safety stock target by 334 units.</t>
        </is>
      </c>
    </row>
    <row r="134">
      <c r="A134" t="inlineStr"/>
      <c r="B134" t="inlineStr">
        <is>
          <t>2026-04-17</t>
        </is>
      </c>
      <c r="C134" t="inlineStr">
        <is>
          <t>2026-02-08</t>
        </is>
      </c>
      <c r="D134" t="n">
        <v>1</v>
      </c>
      <c r="E134" t="inlineStr">
        <is>
          <t>SKU_0003</t>
        </is>
      </c>
      <c r="F134" t="inlineStr">
        <is>
          <t>DC2</t>
        </is>
      </c>
      <c r="G134" t="inlineStr">
        <is>
          <t>F1</t>
        </is>
      </c>
      <c r="H134" t="inlineStr">
        <is>
          <t>Los Angeles</t>
        </is>
      </c>
      <c r="I134" t="inlineStr">
        <is>
          <t>West</t>
        </is>
      </c>
      <c r="J134" t="n">
        <v>34.0522</v>
      </c>
      <c r="K134" t="n">
        <v>-118.2437</v>
      </c>
      <c r="L134" t="inlineStr">
        <is>
          <t>DC</t>
        </is>
      </c>
      <c r="M134" t="inlineStr">
        <is>
          <t>Surgical &amp; Mechanical</t>
        </is>
      </c>
      <c r="N134" t="n">
        <v>722</v>
      </c>
      <c r="O134" t="n">
        <v>64</v>
      </c>
      <c r="P134" t="n">
        <v>0</v>
      </c>
      <c r="Q134" t="n">
        <v>64</v>
      </c>
      <c r="R134" t="n">
        <v>0</v>
      </c>
      <c r="S134" t="n">
        <v>0</v>
      </c>
      <c r="T134" t="n">
        <v>0</v>
      </c>
      <c r="U134" t="n">
        <v>0</v>
      </c>
      <c r="V134" t="n">
        <v>658</v>
      </c>
      <c r="W134" t="n">
        <v>72</v>
      </c>
      <c r="X134" t="n">
        <v>2</v>
      </c>
      <c r="Y134" t="n">
        <v>28</v>
      </c>
      <c r="Z134" t="n">
        <v>195</v>
      </c>
      <c r="AA134" t="n">
        <v>14</v>
      </c>
      <c r="AB134" t="n">
        <v>98</v>
      </c>
      <c r="AC134" t="n">
        <v>111</v>
      </c>
      <c r="AD134" t="n">
        <v>775</v>
      </c>
      <c r="AE134" t="n">
        <v>195</v>
      </c>
      <c r="AF134" t="n">
        <v>775</v>
      </c>
      <c r="AG134" t="n">
        <v>100</v>
      </c>
      <c r="AH134" t="n">
        <v>0</v>
      </c>
      <c r="AI134" t="n">
        <v>0</v>
      </c>
      <c r="AJ134" t="n">
        <v>0</v>
      </c>
      <c r="AK134" t="inlineStr">
        <is>
          <t>SM</t>
        </is>
      </c>
      <c r="AL134" t="inlineStr">
        <is>
          <t>None</t>
        </is>
      </c>
      <c r="AM134" t="inlineStr">
        <is>
          <t>None</t>
        </is>
      </c>
      <c r="AN134" t="inlineStr">
        <is>
          <t>Healthy</t>
        </is>
      </c>
      <c r="AO134" t="inlineStr">
        <is>
          <t>A</t>
        </is>
      </c>
      <c r="AP134" t="inlineStr"/>
      <c r="AQ134">
        <f>IF(AM134="P1",100,IF(AM134="P2",67,IF(AM134="P3",33,0)))</f>
        <v/>
      </c>
      <c r="AR134">
        <f>MIN(100,INT(IF(AI134&gt;0,AI134/Z134,AJ134/AD134)*100))</f>
        <v/>
      </c>
      <c r="AS134">
        <f>IF(AI134+AJ134=0,0,INT(100/D134))</f>
        <v/>
      </c>
      <c r="AT134">
        <f>IF(AO134="A",100,IF(AO134="B",67,33))</f>
        <v/>
      </c>
      <c r="AU134">
        <f>ROUND(0.40*AQ134+0.30*AR134+0.20*AS134+0.10*AT134,0)</f>
        <v/>
      </c>
      <c r="AV134" t="inlineStr"/>
    </row>
    <row r="135">
      <c r="A135" t="inlineStr"/>
      <c r="B135" t="inlineStr">
        <is>
          <t>2026-04-17</t>
        </is>
      </c>
      <c r="C135" t="inlineStr">
        <is>
          <t>2026-02-15</t>
        </is>
      </c>
      <c r="D135" t="n">
        <v>2</v>
      </c>
      <c r="E135" t="inlineStr">
        <is>
          <t>SKU_0003</t>
        </is>
      </c>
      <c r="F135" t="inlineStr">
        <is>
          <t>DC2</t>
        </is>
      </c>
      <c r="G135" t="inlineStr">
        <is>
          <t>F1</t>
        </is>
      </c>
      <c r="H135" t="inlineStr">
        <is>
          <t>Los Angeles</t>
        </is>
      </c>
      <c r="I135" t="inlineStr">
        <is>
          <t>West</t>
        </is>
      </c>
      <c r="J135" t="n">
        <v>34.0522</v>
      </c>
      <c r="K135" t="n">
        <v>-118.2437</v>
      </c>
      <c r="L135" t="inlineStr">
        <is>
          <t>DC</t>
        </is>
      </c>
      <c r="M135" t="inlineStr">
        <is>
          <t>Surgical &amp; Mechanical</t>
        </is>
      </c>
      <c r="N135" t="n">
        <v>658</v>
      </c>
      <c r="O135" t="n">
        <v>35</v>
      </c>
      <c r="P135" t="n">
        <v>0</v>
      </c>
      <c r="Q135" t="n">
        <v>35</v>
      </c>
      <c r="R135" t="n">
        <v>0</v>
      </c>
      <c r="S135" t="n">
        <v>140</v>
      </c>
      <c r="T135" t="n">
        <v>140</v>
      </c>
      <c r="U135" t="n">
        <v>0</v>
      </c>
      <c r="V135" t="n">
        <v>763</v>
      </c>
      <c r="W135" t="n">
        <v>152.6</v>
      </c>
      <c r="X135" t="n">
        <v>2</v>
      </c>
      <c r="Y135" t="n">
        <v>28</v>
      </c>
      <c r="Z135" t="n">
        <v>195</v>
      </c>
      <c r="AA135" t="n">
        <v>14</v>
      </c>
      <c r="AB135" t="n">
        <v>98</v>
      </c>
      <c r="AC135" t="n">
        <v>111</v>
      </c>
      <c r="AD135" t="n">
        <v>775</v>
      </c>
      <c r="AE135" t="n">
        <v>195</v>
      </c>
      <c r="AF135" t="n">
        <v>775</v>
      </c>
      <c r="AG135" t="n">
        <v>100</v>
      </c>
      <c r="AH135" t="n">
        <v>0</v>
      </c>
      <c r="AI135" t="n">
        <v>0</v>
      </c>
      <c r="AJ135" t="n">
        <v>0</v>
      </c>
      <c r="AK135" t="inlineStr">
        <is>
          <t>SM</t>
        </is>
      </c>
      <c r="AL135" t="inlineStr">
        <is>
          <t>None</t>
        </is>
      </c>
      <c r="AM135" t="inlineStr">
        <is>
          <t>None</t>
        </is>
      </c>
      <c r="AN135" t="inlineStr">
        <is>
          <t>Healthy</t>
        </is>
      </c>
      <c r="AO135" t="inlineStr">
        <is>
          <t>A</t>
        </is>
      </c>
      <c r="AP135" t="inlineStr"/>
      <c r="AQ135">
        <f>IF(AM135="P1",100,IF(AM135="P2",67,IF(AM135="P3",33,0)))</f>
        <v/>
      </c>
      <c r="AR135">
        <f>MIN(100,INT(IF(AI135&gt;0,AI135/Z135,AJ135/AD135)*100))</f>
        <v/>
      </c>
      <c r="AS135">
        <f>IF(AI135+AJ135=0,0,INT(100/D135))</f>
        <v/>
      </c>
      <c r="AT135">
        <f>IF(AO135="A",100,IF(AO135="B",67,33))</f>
        <v/>
      </c>
      <c r="AU135">
        <f>ROUND(0.40*AQ135+0.30*AR135+0.20*AS135+0.10*AT135,0)</f>
        <v/>
      </c>
      <c r="AV135" t="inlineStr"/>
    </row>
    <row r="136">
      <c r="A136" t="inlineStr"/>
      <c r="B136" t="inlineStr">
        <is>
          <t>2026-04-17</t>
        </is>
      </c>
      <c r="C136" t="inlineStr">
        <is>
          <t>2026-02-22</t>
        </is>
      </c>
      <c r="D136" t="n">
        <v>3</v>
      </c>
      <c r="E136" t="inlineStr">
        <is>
          <t>SKU_0003</t>
        </is>
      </c>
      <c r="F136" t="inlineStr">
        <is>
          <t>DC2</t>
        </is>
      </c>
      <c r="G136" t="inlineStr">
        <is>
          <t>F1</t>
        </is>
      </c>
      <c r="H136" t="inlineStr">
        <is>
          <t>Los Angeles</t>
        </is>
      </c>
      <c r="I136" t="inlineStr">
        <is>
          <t>West</t>
        </is>
      </c>
      <c r="J136" t="n">
        <v>34.0522</v>
      </c>
      <c r="K136" t="n">
        <v>-118.2437</v>
      </c>
      <c r="L136" t="inlineStr">
        <is>
          <t>DC</t>
        </is>
      </c>
      <c r="M136" t="inlineStr">
        <is>
          <t>Surgical &amp; Mechanical</t>
        </is>
      </c>
      <c r="N136" t="n">
        <v>763</v>
      </c>
      <c r="O136" t="n">
        <v>32</v>
      </c>
      <c r="P136" t="n">
        <v>0</v>
      </c>
      <c r="Q136" t="n">
        <v>32</v>
      </c>
      <c r="R136" t="n">
        <v>0</v>
      </c>
      <c r="S136" t="n">
        <v>0</v>
      </c>
      <c r="T136" t="n">
        <v>0</v>
      </c>
      <c r="U136" t="n">
        <v>0</v>
      </c>
      <c r="V136" t="n">
        <v>731</v>
      </c>
      <c r="W136" t="n">
        <v>159.9</v>
      </c>
      <c r="X136" t="n">
        <v>2</v>
      </c>
      <c r="Y136" t="n">
        <v>28</v>
      </c>
      <c r="Z136" t="n">
        <v>195</v>
      </c>
      <c r="AA136" t="n">
        <v>14</v>
      </c>
      <c r="AB136" t="n">
        <v>98</v>
      </c>
      <c r="AC136" t="n">
        <v>111</v>
      </c>
      <c r="AD136" t="n">
        <v>775</v>
      </c>
      <c r="AE136" t="n">
        <v>195</v>
      </c>
      <c r="AF136" t="n">
        <v>775</v>
      </c>
      <c r="AG136" t="n">
        <v>100</v>
      </c>
      <c r="AH136" t="n">
        <v>0</v>
      </c>
      <c r="AI136" t="n">
        <v>0</v>
      </c>
      <c r="AJ136" t="n">
        <v>0</v>
      </c>
      <c r="AK136" t="inlineStr">
        <is>
          <t>SM</t>
        </is>
      </c>
      <c r="AL136" t="inlineStr">
        <is>
          <t>None</t>
        </is>
      </c>
      <c r="AM136" t="inlineStr">
        <is>
          <t>None</t>
        </is>
      </c>
      <c r="AN136" t="inlineStr">
        <is>
          <t>Healthy</t>
        </is>
      </c>
      <c r="AO136" t="inlineStr">
        <is>
          <t>A</t>
        </is>
      </c>
      <c r="AP136" t="inlineStr"/>
      <c r="AQ136">
        <f>IF(AM136="P1",100,IF(AM136="P2",67,IF(AM136="P3",33,0)))</f>
        <v/>
      </c>
      <c r="AR136">
        <f>MIN(100,INT(IF(AI136&gt;0,AI136/Z136,AJ136/AD136)*100))</f>
        <v/>
      </c>
      <c r="AS136">
        <f>IF(AI136+AJ136=0,0,INT(100/D136))</f>
        <v/>
      </c>
      <c r="AT136">
        <f>IF(AO136="A",100,IF(AO136="B",67,33))</f>
        <v/>
      </c>
      <c r="AU136">
        <f>ROUND(0.40*AQ136+0.30*AR136+0.20*AS136+0.10*AT136,0)</f>
        <v/>
      </c>
      <c r="AV136" t="inlineStr"/>
    </row>
    <row r="137">
      <c r="A137" t="inlineStr"/>
      <c r="B137" t="inlineStr">
        <is>
          <t>2026-04-17</t>
        </is>
      </c>
      <c r="C137" t="inlineStr">
        <is>
          <t>2026-03-01</t>
        </is>
      </c>
      <c r="D137" t="n">
        <v>4</v>
      </c>
      <c r="E137" t="inlineStr">
        <is>
          <t>SKU_0003</t>
        </is>
      </c>
      <c r="F137" t="inlineStr">
        <is>
          <t>DC2</t>
        </is>
      </c>
      <c r="G137" t="inlineStr">
        <is>
          <t>F1</t>
        </is>
      </c>
      <c r="H137" t="inlineStr">
        <is>
          <t>Los Angeles</t>
        </is>
      </c>
      <c r="I137" t="inlineStr">
        <is>
          <t>West</t>
        </is>
      </c>
      <c r="J137" t="n">
        <v>34.0522</v>
      </c>
      <c r="K137" t="n">
        <v>-118.2437</v>
      </c>
      <c r="L137" t="inlineStr">
        <is>
          <t>DC</t>
        </is>
      </c>
      <c r="M137" t="inlineStr">
        <is>
          <t>Surgical &amp; Mechanical</t>
        </is>
      </c>
      <c r="N137" t="n">
        <v>731</v>
      </c>
      <c r="O137" t="n">
        <v>48</v>
      </c>
      <c r="P137" t="n">
        <v>0</v>
      </c>
      <c r="Q137" t="n">
        <v>48</v>
      </c>
      <c r="R137" t="n">
        <v>0</v>
      </c>
      <c r="S137" t="n">
        <v>0</v>
      </c>
      <c r="T137" t="n">
        <v>0</v>
      </c>
      <c r="U137" t="n">
        <v>0</v>
      </c>
      <c r="V137" t="n">
        <v>683</v>
      </c>
      <c r="W137" t="n">
        <v>99.59999999999999</v>
      </c>
      <c r="X137" t="n">
        <v>2</v>
      </c>
      <c r="Y137" t="n">
        <v>28</v>
      </c>
      <c r="Z137" t="n">
        <v>195</v>
      </c>
      <c r="AA137" t="n">
        <v>14</v>
      </c>
      <c r="AB137" t="n">
        <v>98</v>
      </c>
      <c r="AC137" t="n">
        <v>111</v>
      </c>
      <c r="AD137" t="n">
        <v>775</v>
      </c>
      <c r="AE137" t="n">
        <v>195</v>
      </c>
      <c r="AF137" t="n">
        <v>775</v>
      </c>
      <c r="AG137" t="n">
        <v>100</v>
      </c>
      <c r="AH137" t="n">
        <v>0</v>
      </c>
      <c r="AI137" t="n">
        <v>0</v>
      </c>
      <c r="AJ137" t="n">
        <v>0</v>
      </c>
      <c r="AK137" t="inlineStr">
        <is>
          <t>SM</t>
        </is>
      </c>
      <c r="AL137" t="inlineStr">
        <is>
          <t>None</t>
        </is>
      </c>
      <c r="AM137" t="inlineStr">
        <is>
          <t>None</t>
        </is>
      </c>
      <c r="AN137" t="inlineStr">
        <is>
          <t>Healthy</t>
        </is>
      </c>
      <c r="AO137" t="inlineStr">
        <is>
          <t>A</t>
        </is>
      </c>
      <c r="AP137" t="inlineStr"/>
      <c r="AQ137">
        <f>IF(AM137="P1",100,IF(AM137="P2",67,IF(AM137="P3",33,0)))</f>
        <v/>
      </c>
      <c r="AR137">
        <f>MIN(100,INT(IF(AI137&gt;0,AI137/Z137,AJ137/AD137)*100))</f>
        <v/>
      </c>
      <c r="AS137">
        <f>IF(AI137+AJ137=0,0,INT(100/D137))</f>
        <v/>
      </c>
      <c r="AT137">
        <f>IF(AO137="A",100,IF(AO137="B",67,33))</f>
        <v/>
      </c>
      <c r="AU137">
        <f>ROUND(0.40*AQ137+0.30*AR137+0.20*AS137+0.10*AT137,0)</f>
        <v/>
      </c>
      <c r="AV137" t="inlineStr"/>
    </row>
    <row r="138">
      <c r="A138" t="inlineStr"/>
      <c r="B138" t="inlineStr">
        <is>
          <t>2026-04-17</t>
        </is>
      </c>
      <c r="C138" t="inlineStr">
        <is>
          <t>2026-03-08</t>
        </is>
      </c>
      <c r="D138" t="n">
        <v>5</v>
      </c>
      <c r="E138" t="inlineStr">
        <is>
          <t>SKU_0003</t>
        </is>
      </c>
      <c r="F138" t="inlineStr">
        <is>
          <t>DC2</t>
        </is>
      </c>
      <c r="G138" t="inlineStr">
        <is>
          <t>F1</t>
        </is>
      </c>
      <c r="H138" t="inlineStr">
        <is>
          <t>Los Angeles</t>
        </is>
      </c>
      <c r="I138" t="inlineStr">
        <is>
          <t>West</t>
        </is>
      </c>
      <c r="J138" t="n">
        <v>34.0522</v>
      </c>
      <c r="K138" t="n">
        <v>-118.2437</v>
      </c>
      <c r="L138" t="inlineStr">
        <is>
          <t>DC</t>
        </is>
      </c>
      <c r="M138" t="inlineStr">
        <is>
          <t>Surgical &amp; Mechanical</t>
        </is>
      </c>
      <c r="N138" t="n">
        <v>683</v>
      </c>
      <c r="O138" t="n">
        <v>36</v>
      </c>
      <c r="P138" t="n">
        <v>0</v>
      </c>
      <c r="Q138" t="n">
        <v>36</v>
      </c>
      <c r="R138" t="n">
        <v>0</v>
      </c>
      <c r="S138" t="n">
        <v>82</v>
      </c>
      <c r="T138" t="n">
        <v>82</v>
      </c>
      <c r="U138" t="n">
        <v>0</v>
      </c>
      <c r="V138" t="n">
        <v>729</v>
      </c>
      <c r="W138" t="n">
        <v>141.8</v>
      </c>
      <c r="X138" t="n">
        <v>2</v>
      </c>
      <c r="Y138" t="n">
        <v>28</v>
      </c>
      <c r="Z138" t="n">
        <v>195</v>
      </c>
      <c r="AA138" t="n">
        <v>14</v>
      </c>
      <c r="AB138" t="n">
        <v>98</v>
      </c>
      <c r="AC138" t="n">
        <v>111</v>
      </c>
      <c r="AD138" t="n">
        <v>775</v>
      </c>
      <c r="AE138" t="n">
        <v>195</v>
      </c>
      <c r="AF138" t="n">
        <v>775</v>
      </c>
      <c r="AG138" t="n">
        <v>100</v>
      </c>
      <c r="AH138" t="n">
        <v>0</v>
      </c>
      <c r="AI138" t="n">
        <v>0</v>
      </c>
      <c r="AJ138" t="n">
        <v>0</v>
      </c>
      <c r="AK138" t="inlineStr">
        <is>
          <t>SM</t>
        </is>
      </c>
      <c r="AL138" t="inlineStr">
        <is>
          <t>None</t>
        </is>
      </c>
      <c r="AM138" t="inlineStr">
        <is>
          <t>None</t>
        </is>
      </c>
      <c r="AN138" t="inlineStr">
        <is>
          <t>Healthy</t>
        </is>
      </c>
      <c r="AO138" t="inlineStr">
        <is>
          <t>A</t>
        </is>
      </c>
      <c r="AP138" t="inlineStr"/>
      <c r="AQ138">
        <f>IF(AM138="P1",100,IF(AM138="P2",67,IF(AM138="P3",33,0)))</f>
        <v/>
      </c>
      <c r="AR138">
        <f>MIN(100,INT(IF(AI138&gt;0,AI138/Z138,AJ138/AD138)*100))</f>
        <v/>
      </c>
      <c r="AS138">
        <f>IF(AI138+AJ138=0,0,INT(100/D138))</f>
        <v/>
      </c>
      <c r="AT138">
        <f>IF(AO138="A",100,IF(AO138="B",67,33))</f>
        <v/>
      </c>
      <c r="AU138">
        <f>ROUND(0.40*AQ138+0.30*AR138+0.20*AS138+0.10*AT138,0)</f>
        <v/>
      </c>
      <c r="AV138" t="inlineStr"/>
    </row>
    <row r="139">
      <c r="A139" t="inlineStr"/>
      <c r="B139" t="inlineStr">
        <is>
          <t>2026-04-17</t>
        </is>
      </c>
      <c r="C139" t="inlineStr">
        <is>
          <t>2026-03-15</t>
        </is>
      </c>
      <c r="D139" t="n">
        <v>6</v>
      </c>
      <c r="E139" t="inlineStr">
        <is>
          <t>SKU_0003</t>
        </is>
      </c>
      <c r="F139" t="inlineStr">
        <is>
          <t>DC2</t>
        </is>
      </c>
      <c r="G139" t="inlineStr">
        <is>
          <t>F1</t>
        </is>
      </c>
      <c r="H139" t="inlineStr">
        <is>
          <t>Los Angeles</t>
        </is>
      </c>
      <c r="I139" t="inlineStr">
        <is>
          <t>West</t>
        </is>
      </c>
      <c r="J139" t="n">
        <v>34.0522</v>
      </c>
      <c r="K139" t="n">
        <v>-118.2437</v>
      </c>
      <c r="L139" t="inlineStr">
        <is>
          <t>DC</t>
        </is>
      </c>
      <c r="M139" t="inlineStr">
        <is>
          <t>Surgical &amp; Mechanical</t>
        </is>
      </c>
      <c r="N139" t="n">
        <v>729</v>
      </c>
      <c r="O139" t="n">
        <v>55</v>
      </c>
      <c r="P139" t="n">
        <v>0</v>
      </c>
      <c r="Q139" t="n">
        <v>55</v>
      </c>
      <c r="R139" t="n">
        <v>0</v>
      </c>
      <c r="S139" t="n">
        <v>84</v>
      </c>
      <c r="T139" t="n">
        <v>84</v>
      </c>
      <c r="U139" t="n">
        <v>0</v>
      </c>
      <c r="V139" t="n">
        <v>758</v>
      </c>
      <c r="W139" t="n">
        <v>96.5</v>
      </c>
      <c r="X139" t="n">
        <v>2</v>
      </c>
      <c r="Y139" t="n">
        <v>28</v>
      </c>
      <c r="Z139" t="n">
        <v>195</v>
      </c>
      <c r="AA139" t="n">
        <v>14</v>
      </c>
      <c r="AB139" t="n">
        <v>98</v>
      </c>
      <c r="AC139" t="n">
        <v>111</v>
      </c>
      <c r="AD139" t="n">
        <v>775</v>
      </c>
      <c r="AE139" t="n">
        <v>195</v>
      </c>
      <c r="AF139" t="n">
        <v>775</v>
      </c>
      <c r="AG139" t="n">
        <v>100</v>
      </c>
      <c r="AH139" t="n">
        <v>0</v>
      </c>
      <c r="AI139" t="n">
        <v>0</v>
      </c>
      <c r="AJ139" t="n">
        <v>0</v>
      </c>
      <c r="AK139" t="inlineStr">
        <is>
          <t>SM</t>
        </is>
      </c>
      <c r="AL139" t="inlineStr">
        <is>
          <t>None</t>
        </is>
      </c>
      <c r="AM139" t="inlineStr">
        <is>
          <t>None</t>
        </is>
      </c>
      <c r="AN139" t="inlineStr">
        <is>
          <t>Healthy</t>
        </is>
      </c>
      <c r="AO139" t="inlineStr">
        <is>
          <t>A</t>
        </is>
      </c>
      <c r="AP139" t="inlineStr"/>
      <c r="AQ139">
        <f>IF(AM139="P1",100,IF(AM139="P2",67,IF(AM139="P3",33,0)))</f>
        <v/>
      </c>
      <c r="AR139">
        <f>MIN(100,INT(IF(AI139&gt;0,AI139/Z139,AJ139/AD139)*100))</f>
        <v/>
      </c>
      <c r="AS139">
        <f>IF(AI139+AJ139=0,0,INT(100/D139))</f>
        <v/>
      </c>
      <c r="AT139">
        <f>IF(AO139="A",100,IF(AO139="B",67,33))</f>
        <v/>
      </c>
      <c r="AU139">
        <f>ROUND(0.40*AQ139+0.30*AR139+0.20*AS139+0.10*AT139,0)</f>
        <v/>
      </c>
      <c r="AV139" t="inlineStr"/>
    </row>
    <row r="140">
      <c r="A140" t="inlineStr">
        <is>
          <t>BD-24536581-00069</t>
        </is>
      </c>
      <c r="B140" t="inlineStr">
        <is>
          <t>2026-04-17</t>
        </is>
      </c>
      <c r="C140" t="inlineStr">
        <is>
          <t>2026-03-22</t>
        </is>
      </c>
      <c r="D140" t="n">
        <v>7</v>
      </c>
      <c r="E140" t="inlineStr">
        <is>
          <t>SKU_0003</t>
        </is>
      </c>
      <c r="F140" t="inlineStr">
        <is>
          <t>DC2</t>
        </is>
      </c>
      <c r="G140" t="inlineStr">
        <is>
          <t>F1</t>
        </is>
      </c>
      <c r="H140" t="inlineStr">
        <is>
          <t>Los Angeles</t>
        </is>
      </c>
      <c r="I140" t="inlineStr">
        <is>
          <t>West</t>
        </is>
      </c>
      <c r="J140" t="n">
        <v>34.0522</v>
      </c>
      <c r="K140" t="n">
        <v>-118.2437</v>
      </c>
      <c r="L140" t="inlineStr">
        <is>
          <t>DC</t>
        </is>
      </c>
      <c r="M140" t="inlineStr">
        <is>
          <t>Surgical &amp; Mechanical</t>
        </is>
      </c>
      <c r="N140" t="n">
        <v>758</v>
      </c>
      <c r="O140" t="n">
        <v>52</v>
      </c>
      <c r="P140" t="n">
        <v>0</v>
      </c>
      <c r="Q140" t="n">
        <v>52</v>
      </c>
      <c r="R140" t="n">
        <v>0</v>
      </c>
      <c r="S140" t="n">
        <v>98</v>
      </c>
      <c r="T140" t="n">
        <v>98</v>
      </c>
      <c r="U140" t="n">
        <v>0</v>
      </c>
      <c r="V140" t="n">
        <v>804</v>
      </c>
      <c r="W140" t="n">
        <v>108.2</v>
      </c>
      <c r="X140" t="n">
        <v>2</v>
      </c>
      <c r="Y140" t="n">
        <v>28</v>
      </c>
      <c r="Z140" t="n">
        <v>195</v>
      </c>
      <c r="AA140" t="n">
        <v>14</v>
      </c>
      <c r="AB140" t="n">
        <v>98</v>
      </c>
      <c r="AC140" t="n">
        <v>111</v>
      </c>
      <c r="AD140" t="n">
        <v>775</v>
      </c>
      <c r="AE140" t="n">
        <v>195</v>
      </c>
      <c r="AF140" t="n">
        <v>775</v>
      </c>
      <c r="AG140" t="n">
        <v>100</v>
      </c>
      <c r="AH140" t="n">
        <v>3</v>
      </c>
      <c r="AI140" t="n">
        <v>0</v>
      </c>
      <c r="AJ140" t="n">
        <v>29</v>
      </c>
      <c r="AK140" t="inlineStr">
        <is>
          <t>SM</t>
        </is>
      </c>
      <c r="AL140" t="inlineStr">
        <is>
          <t>Low ESTN</t>
        </is>
      </c>
      <c r="AM140" t="inlineStr">
        <is>
          <t>P3</t>
        </is>
      </c>
      <c r="AN140" t="inlineStr">
        <is>
          <t>Potential Excess</t>
        </is>
      </c>
      <c r="AO140" t="inlineStr">
        <is>
          <t>A</t>
        </is>
      </c>
      <c r="AP140" t="inlineStr"/>
      <c r="AQ140">
        <f>IF(AM140="P1",100,IF(AM140="P2",67,IF(AM140="P3",33,0)))</f>
        <v/>
      </c>
      <c r="AR140">
        <f>MIN(100,INT(IF(AI140&gt;0,AI140/Z140,AJ140/AD140)*100))</f>
        <v/>
      </c>
      <c r="AS140">
        <f>IF(AI140+AJ140=0,0,INT(100/D140))</f>
        <v/>
      </c>
      <c r="AT140">
        <f>IF(AO140="A",100,IF(AO140="B",67,33))</f>
        <v/>
      </c>
      <c r="AU140">
        <f>ROUND(0.40*AQ140+0.30*AR140+0.20*AS140+0.10*AT140,0)</f>
        <v/>
      </c>
      <c r="AV140" t="inlineStr">
        <is>
          <t>Opening inventory of 758 and supply of 98 exceed the demand of 52, resulting in a projected surplus of 804. This inventory levels violates the maximum stock threshold of 775 units by 29 units, increasing holding risk.</t>
        </is>
      </c>
    </row>
    <row r="141">
      <c r="A141" t="inlineStr"/>
      <c r="B141" t="inlineStr">
        <is>
          <t>2026-04-17</t>
        </is>
      </c>
      <c r="C141" t="inlineStr">
        <is>
          <t>2026-03-29</t>
        </is>
      </c>
      <c r="D141" t="n">
        <v>8</v>
      </c>
      <c r="E141" t="inlineStr">
        <is>
          <t>SKU_0003</t>
        </is>
      </c>
      <c r="F141" t="inlineStr">
        <is>
          <t>DC2</t>
        </is>
      </c>
      <c r="G141" t="inlineStr">
        <is>
          <t>F1</t>
        </is>
      </c>
      <c r="H141" t="inlineStr">
        <is>
          <t>Los Angeles</t>
        </is>
      </c>
      <c r="I141" t="inlineStr">
        <is>
          <t>West</t>
        </is>
      </c>
      <c r="J141" t="n">
        <v>34.0522</v>
      </c>
      <c r="K141" t="n">
        <v>-118.2437</v>
      </c>
      <c r="L141" t="inlineStr">
        <is>
          <t>DC</t>
        </is>
      </c>
      <c r="M141" t="inlineStr">
        <is>
          <t>Surgical &amp; Mechanical</t>
        </is>
      </c>
      <c r="N141" t="n">
        <v>804</v>
      </c>
      <c r="O141" t="n">
        <v>39</v>
      </c>
      <c r="P141" t="n">
        <v>0</v>
      </c>
      <c r="Q141" t="n">
        <v>39</v>
      </c>
      <c r="R141" t="n">
        <v>0</v>
      </c>
      <c r="S141" t="n">
        <v>0</v>
      </c>
      <c r="T141" t="n">
        <v>0</v>
      </c>
      <c r="U141" t="n">
        <v>0</v>
      </c>
      <c r="V141" t="n">
        <v>765</v>
      </c>
      <c r="W141" t="n">
        <v>137.3</v>
      </c>
      <c r="X141" t="n">
        <v>2</v>
      </c>
      <c r="Y141" t="n">
        <v>28</v>
      </c>
      <c r="Z141" t="n">
        <v>195</v>
      </c>
      <c r="AA141" t="n">
        <v>14</v>
      </c>
      <c r="AB141" t="n">
        <v>98</v>
      </c>
      <c r="AC141" t="n">
        <v>111</v>
      </c>
      <c r="AD141" t="n">
        <v>775</v>
      </c>
      <c r="AE141" t="n">
        <v>195</v>
      </c>
      <c r="AF141" t="n">
        <v>775</v>
      </c>
      <c r="AG141" t="n">
        <v>100</v>
      </c>
      <c r="AH141" t="n">
        <v>0</v>
      </c>
      <c r="AI141" t="n">
        <v>0</v>
      </c>
      <c r="AJ141" t="n">
        <v>0</v>
      </c>
      <c r="AK141" t="inlineStr">
        <is>
          <t>SM</t>
        </is>
      </c>
      <c r="AL141" t="inlineStr">
        <is>
          <t>None</t>
        </is>
      </c>
      <c r="AM141" t="inlineStr">
        <is>
          <t>None</t>
        </is>
      </c>
      <c r="AN141" t="inlineStr">
        <is>
          <t>Healthy</t>
        </is>
      </c>
      <c r="AO141" t="inlineStr">
        <is>
          <t>A</t>
        </is>
      </c>
      <c r="AP141" t="inlineStr"/>
      <c r="AQ141">
        <f>IF(AM141="P1",100,IF(AM141="P2",67,IF(AM141="P3",33,0)))</f>
        <v/>
      </c>
      <c r="AR141">
        <f>MIN(100,INT(IF(AI141&gt;0,AI141/Z141,AJ141/AD141)*100))</f>
        <v/>
      </c>
      <c r="AS141">
        <f>IF(AI141+AJ141=0,0,INT(100/D141))</f>
        <v/>
      </c>
      <c r="AT141">
        <f>IF(AO141="A",100,IF(AO141="B",67,33))</f>
        <v/>
      </c>
      <c r="AU141">
        <f>ROUND(0.40*AQ141+0.30*AR141+0.20*AS141+0.10*AT141,0)</f>
        <v/>
      </c>
      <c r="AV141" t="inlineStr"/>
    </row>
    <row r="142">
      <c r="A142" t="inlineStr">
        <is>
          <t>BD-24536581-00070</t>
        </is>
      </c>
      <c r="B142" t="inlineStr">
        <is>
          <t>2026-04-17</t>
        </is>
      </c>
      <c r="C142" t="inlineStr">
        <is>
          <t>2026-04-05</t>
        </is>
      </c>
      <c r="D142" t="n">
        <v>9</v>
      </c>
      <c r="E142" t="inlineStr">
        <is>
          <t>SKU_0003</t>
        </is>
      </c>
      <c r="F142" t="inlineStr">
        <is>
          <t>DC2</t>
        </is>
      </c>
      <c r="G142" t="inlineStr">
        <is>
          <t>F1</t>
        </is>
      </c>
      <c r="H142" t="inlineStr">
        <is>
          <t>Los Angeles</t>
        </is>
      </c>
      <c r="I142" t="inlineStr">
        <is>
          <t>West</t>
        </is>
      </c>
      <c r="J142" t="n">
        <v>34.0522</v>
      </c>
      <c r="K142" t="n">
        <v>-118.2437</v>
      </c>
      <c r="L142" t="inlineStr">
        <is>
          <t>DC</t>
        </is>
      </c>
      <c r="M142" t="inlineStr">
        <is>
          <t>Surgical &amp; Mechanical</t>
        </is>
      </c>
      <c r="N142" t="n">
        <v>765</v>
      </c>
      <c r="O142" t="n">
        <v>39</v>
      </c>
      <c r="P142" t="n">
        <v>0</v>
      </c>
      <c r="Q142" t="n">
        <v>39</v>
      </c>
      <c r="R142" t="n">
        <v>0</v>
      </c>
      <c r="S142" t="n">
        <v>76</v>
      </c>
      <c r="T142" t="n">
        <v>76</v>
      </c>
      <c r="U142" t="n">
        <v>0</v>
      </c>
      <c r="V142" t="n">
        <v>802</v>
      </c>
      <c r="W142" t="n">
        <v>143.9</v>
      </c>
      <c r="X142" t="n">
        <v>2</v>
      </c>
      <c r="Y142" t="n">
        <v>28</v>
      </c>
      <c r="Z142" t="n">
        <v>195</v>
      </c>
      <c r="AA142" t="n">
        <v>14</v>
      </c>
      <c r="AB142" t="n">
        <v>98</v>
      </c>
      <c r="AC142" t="n">
        <v>111</v>
      </c>
      <c r="AD142" t="n">
        <v>775</v>
      </c>
      <c r="AE142" t="n">
        <v>195</v>
      </c>
      <c r="AF142" t="n">
        <v>775</v>
      </c>
      <c r="AG142" t="n">
        <v>100</v>
      </c>
      <c r="AH142" t="n">
        <v>3</v>
      </c>
      <c r="AI142" t="n">
        <v>0</v>
      </c>
      <c r="AJ142" t="n">
        <v>27</v>
      </c>
      <c r="AK142" t="inlineStr">
        <is>
          <t>SM</t>
        </is>
      </c>
      <c r="AL142" t="inlineStr">
        <is>
          <t>Low ESTN</t>
        </is>
      </c>
      <c r="AM142" t="inlineStr">
        <is>
          <t>P3</t>
        </is>
      </c>
      <c r="AN142" t="inlineStr">
        <is>
          <t>Potential Excess</t>
        </is>
      </c>
      <c r="AO142" t="inlineStr">
        <is>
          <t>A</t>
        </is>
      </c>
      <c r="AP142" t="inlineStr"/>
      <c r="AQ142">
        <f>IF(AM142="P1",100,IF(AM142="P2",67,IF(AM142="P3",33,0)))</f>
        <v/>
      </c>
      <c r="AR142">
        <f>MIN(100,INT(IF(AI142&gt;0,AI142/Z142,AJ142/AD142)*100))</f>
        <v/>
      </c>
      <c r="AS142">
        <f>IF(AI142+AJ142=0,0,INT(100/D142))</f>
        <v/>
      </c>
      <c r="AT142">
        <f>IF(AO142="A",100,IF(AO142="B",67,33))</f>
        <v/>
      </c>
      <c r="AU142">
        <f>ROUND(0.40*AQ142+0.30*AR142+0.20*AS142+0.10*AT142,0)</f>
        <v/>
      </c>
      <c r="AV142" t="inlineStr">
        <is>
          <t>Opening inventory of 765 and supply of 76 exceed the demand of 39, resulting in a projected surplus of 802. This inventory levels violates the maximum stock threshold of 775 units by 27 units, increasing holding risk.</t>
        </is>
      </c>
    </row>
    <row r="143">
      <c r="A143" t="inlineStr">
        <is>
          <t>BD-24536581-00071</t>
        </is>
      </c>
      <c r="B143" t="inlineStr">
        <is>
          <t>2026-04-17</t>
        </is>
      </c>
      <c r="C143" t="inlineStr">
        <is>
          <t>2026-04-12</t>
        </is>
      </c>
      <c r="D143" t="n">
        <v>10</v>
      </c>
      <c r="E143" t="inlineStr">
        <is>
          <t>SKU_0003</t>
        </is>
      </c>
      <c r="F143" t="inlineStr">
        <is>
          <t>DC2</t>
        </is>
      </c>
      <c r="G143" t="inlineStr">
        <is>
          <t>F1</t>
        </is>
      </c>
      <c r="H143" t="inlineStr">
        <is>
          <t>Los Angeles</t>
        </is>
      </c>
      <c r="I143" t="inlineStr">
        <is>
          <t>West</t>
        </is>
      </c>
      <c r="J143" t="n">
        <v>34.0522</v>
      </c>
      <c r="K143" t="n">
        <v>-118.2437</v>
      </c>
      <c r="L143" t="inlineStr">
        <is>
          <t>DC</t>
        </is>
      </c>
      <c r="M143" t="inlineStr">
        <is>
          <t>Surgical &amp; Mechanical</t>
        </is>
      </c>
      <c r="N143" t="n">
        <v>802</v>
      </c>
      <c r="O143" t="n">
        <v>53</v>
      </c>
      <c r="P143" t="n">
        <v>0</v>
      </c>
      <c r="Q143" t="n">
        <v>53</v>
      </c>
      <c r="R143" t="n">
        <v>0</v>
      </c>
      <c r="S143" t="n">
        <v>93</v>
      </c>
      <c r="T143" t="n">
        <v>93</v>
      </c>
      <c r="U143" t="n">
        <v>0</v>
      </c>
      <c r="V143" t="n">
        <v>842</v>
      </c>
      <c r="W143" t="n">
        <v>111.2</v>
      </c>
      <c r="X143" t="n">
        <v>2</v>
      </c>
      <c r="Y143" t="n">
        <v>28</v>
      </c>
      <c r="Z143" t="n">
        <v>195</v>
      </c>
      <c r="AA143" t="n">
        <v>14</v>
      </c>
      <c r="AB143" t="n">
        <v>98</v>
      </c>
      <c r="AC143" t="n">
        <v>111</v>
      </c>
      <c r="AD143" t="n">
        <v>775</v>
      </c>
      <c r="AE143" t="n">
        <v>195</v>
      </c>
      <c r="AF143" t="n">
        <v>775</v>
      </c>
      <c r="AG143" t="n">
        <v>100</v>
      </c>
      <c r="AH143" t="n">
        <v>8</v>
      </c>
      <c r="AI143" t="n">
        <v>0</v>
      </c>
      <c r="AJ143" t="n">
        <v>67</v>
      </c>
      <c r="AK143" t="inlineStr">
        <is>
          <t>SM</t>
        </is>
      </c>
      <c r="AL143" t="inlineStr">
        <is>
          <t>Low ESTN</t>
        </is>
      </c>
      <c r="AM143" t="inlineStr">
        <is>
          <t>P3</t>
        </is>
      </c>
      <c r="AN143" t="inlineStr">
        <is>
          <t>Potential Excess</t>
        </is>
      </c>
      <c r="AO143" t="inlineStr">
        <is>
          <t>A</t>
        </is>
      </c>
      <c r="AP143" t="inlineStr"/>
      <c r="AQ143">
        <f>IF(AM143="P1",100,IF(AM143="P2",67,IF(AM143="P3",33,0)))</f>
        <v/>
      </c>
      <c r="AR143">
        <f>MIN(100,INT(IF(AI143&gt;0,AI143/Z143,AJ143/AD143)*100))</f>
        <v/>
      </c>
      <c r="AS143">
        <f>IF(AI143+AJ143=0,0,INT(100/D143))</f>
        <v/>
      </c>
      <c r="AT143">
        <f>IF(AO143="A",100,IF(AO143="B",67,33))</f>
        <v/>
      </c>
      <c r="AU143">
        <f>ROUND(0.40*AQ143+0.30*AR143+0.20*AS143+0.10*AT143,0)</f>
        <v/>
      </c>
      <c r="AV143" t="inlineStr">
        <is>
          <t>Opening inventory of 802 and supply of 93 exceed the demand of 53, resulting in a projected surplus of 842. This inventory levels violates the maximum stock threshold of 775 units by 67 units, increasing holding risk.</t>
        </is>
      </c>
    </row>
    <row r="144">
      <c r="A144" t="inlineStr"/>
      <c r="B144" t="inlineStr">
        <is>
          <t>2026-04-17</t>
        </is>
      </c>
      <c r="C144" t="inlineStr">
        <is>
          <t>2026-04-19</t>
        </is>
      </c>
      <c r="D144" t="n">
        <v>11</v>
      </c>
      <c r="E144" t="inlineStr">
        <is>
          <t>SKU_0003</t>
        </is>
      </c>
      <c r="F144" t="inlineStr">
        <is>
          <t>DC2</t>
        </is>
      </c>
      <c r="G144" t="inlineStr">
        <is>
          <t>F1</t>
        </is>
      </c>
      <c r="H144" t="inlineStr">
        <is>
          <t>Los Angeles</t>
        </is>
      </c>
      <c r="I144" t="inlineStr">
        <is>
          <t>West</t>
        </is>
      </c>
      <c r="J144" t="n">
        <v>34.0522</v>
      </c>
      <c r="K144" t="n">
        <v>-118.2437</v>
      </c>
      <c r="L144" t="inlineStr">
        <is>
          <t>DC</t>
        </is>
      </c>
      <c r="M144" t="inlineStr">
        <is>
          <t>Surgical &amp; Mechanical</t>
        </is>
      </c>
      <c r="N144" t="n">
        <v>842</v>
      </c>
      <c r="O144" t="n">
        <v>47</v>
      </c>
      <c r="P144" t="n">
        <v>0</v>
      </c>
      <c r="Q144" t="n">
        <v>47</v>
      </c>
      <c r="R144" t="n">
        <v>0</v>
      </c>
      <c r="S144" t="n">
        <v>99</v>
      </c>
      <c r="T144" t="n">
        <v>99</v>
      </c>
      <c r="U144" t="n">
        <v>0</v>
      </c>
      <c r="V144" t="n">
        <v>894</v>
      </c>
      <c r="W144" t="n">
        <v>133.1</v>
      </c>
      <c r="X144" t="n">
        <v>2</v>
      </c>
      <c r="Y144" t="n">
        <v>28</v>
      </c>
      <c r="Z144" t="n">
        <v>195</v>
      </c>
      <c r="AA144" t="n">
        <v>14</v>
      </c>
      <c r="AB144" t="n">
        <v>98</v>
      </c>
      <c r="AC144" t="n">
        <v>111</v>
      </c>
      <c r="AD144" t="n">
        <v>775</v>
      </c>
      <c r="AE144" t="n">
        <v>195</v>
      </c>
      <c r="AF144" t="n">
        <v>775</v>
      </c>
      <c r="AG144" t="n">
        <v>100</v>
      </c>
      <c r="AH144" t="n">
        <v>15</v>
      </c>
      <c r="AI144" t="n">
        <v>0</v>
      </c>
      <c r="AJ144" t="n">
        <v>119</v>
      </c>
      <c r="AK144" t="inlineStr">
        <is>
          <t>SM</t>
        </is>
      </c>
      <c r="AL144" t="inlineStr">
        <is>
          <t>None</t>
        </is>
      </c>
      <c r="AM144" t="inlineStr">
        <is>
          <t>None</t>
        </is>
      </c>
      <c r="AN144" t="inlineStr">
        <is>
          <t>Healthy</t>
        </is>
      </c>
      <c r="AO144" t="inlineStr">
        <is>
          <t>A</t>
        </is>
      </c>
      <c r="AP144" t="inlineStr"/>
      <c r="AQ144">
        <f>IF(AM144="P1",100,IF(AM144="P2",67,IF(AM144="P3",33,0)))</f>
        <v/>
      </c>
      <c r="AR144">
        <f>MIN(100,INT(IF(AI144&gt;0,AI144/Z144,AJ144/AD144)*100))</f>
        <v/>
      </c>
      <c r="AS144">
        <f>IF(AI144+AJ144=0,0,INT(100/D144))</f>
        <v/>
      </c>
      <c r="AT144">
        <f>IF(AO144="A",100,IF(AO144="B",67,33))</f>
        <v/>
      </c>
      <c r="AU144">
        <f>ROUND(0.40*AQ144+0.30*AR144+0.20*AS144+0.10*AT144,0)</f>
        <v/>
      </c>
      <c r="AV144" t="inlineStr"/>
    </row>
    <row r="145">
      <c r="A145" t="inlineStr"/>
      <c r="B145" t="inlineStr">
        <is>
          <t>2026-04-17</t>
        </is>
      </c>
      <c r="C145" t="inlineStr">
        <is>
          <t>2026-04-26</t>
        </is>
      </c>
      <c r="D145" t="n">
        <v>12</v>
      </c>
      <c r="E145" t="inlineStr">
        <is>
          <t>SKU_0003</t>
        </is>
      </c>
      <c r="F145" t="inlineStr">
        <is>
          <t>DC2</t>
        </is>
      </c>
      <c r="G145" t="inlineStr">
        <is>
          <t>F1</t>
        </is>
      </c>
      <c r="H145" t="inlineStr">
        <is>
          <t>Los Angeles</t>
        </is>
      </c>
      <c r="I145" t="inlineStr">
        <is>
          <t>West</t>
        </is>
      </c>
      <c r="J145" t="n">
        <v>34.0522</v>
      </c>
      <c r="K145" t="n">
        <v>-118.2437</v>
      </c>
      <c r="L145" t="inlineStr">
        <is>
          <t>DC</t>
        </is>
      </c>
      <c r="M145" t="inlineStr">
        <is>
          <t>Surgical &amp; Mechanical</t>
        </is>
      </c>
      <c r="N145" t="n">
        <v>894</v>
      </c>
      <c r="O145" t="n">
        <v>38</v>
      </c>
      <c r="P145" t="n">
        <v>0</v>
      </c>
      <c r="Q145" t="n">
        <v>38</v>
      </c>
      <c r="R145" t="n">
        <v>0</v>
      </c>
      <c r="S145" t="n">
        <v>0</v>
      </c>
      <c r="T145" t="n">
        <v>0</v>
      </c>
      <c r="U145" t="n">
        <v>0</v>
      </c>
      <c r="V145" t="n">
        <v>856</v>
      </c>
      <c r="W145" t="n">
        <v>157.7</v>
      </c>
      <c r="X145" t="n">
        <v>2</v>
      </c>
      <c r="Y145" t="n">
        <v>28</v>
      </c>
      <c r="Z145" t="n">
        <v>195</v>
      </c>
      <c r="AA145" t="n">
        <v>14</v>
      </c>
      <c r="AB145" t="n">
        <v>98</v>
      </c>
      <c r="AC145" t="n">
        <v>111</v>
      </c>
      <c r="AD145" t="n">
        <v>775</v>
      </c>
      <c r="AE145" t="n">
        <v>195</v>
      </c>
      <c r="AF145" t="n">
        <v>775</v>
      </c>
      <c r="AG145" t="n">
        <v>100</v>
      </c>
      <c r="AH145" t="n">
        <v>10</v>
      </c>
      <c r="AI145" t="n">
        <v>0</v>
      </c>
      <c r="AJ145" t="n">
        <v>81</v>
      </c>
      <c r="AK145" t="inlineStr">
        <is>
          <t>SM</t>
        </is>
      </c>
      <c r="AL145" t="inlineStr">
        <is>
          <t>None</t>
        </is>
      </c>
      <c r="AM145" t="inlineStr">
        <is>
          <t>None</t>
        </is>
      </c>
      <c r="AN145" t="inlineStr">
        <is>
          <t>Healthy</t>
        </is>
      </c>
      <c r="AO145" t="inlineStr">
        <is>
          <t>A</t>
        </is>
      </c>
      <c r="AP145" t="inlineStr"/>
      <c r="AQ145">
        <f>IF(AM145="P1",100,IF(AM145="P2",67,IF(AM145="P3",33,0)))</f>
        <v/>
      </c>
      <c r="AR145">
        <f>MIN(100,INT(IF(AI145&gt;0,AI145/Z145,AJ145/AD145)*100))</f>
        <v/>
      </c>
      <c r="AS145">
        <f>IF(AI145+AJ145=0,0,INT(100/D145))</f>
        <v/>
      </c>
      <c r="AT145">
        <f>IF(AO145="A",100,IF(AO145="B",67,33))</f>
        <v/>
      </c>
      <c r="AU145">
        <f>ROUND(0.40*AQ145+0.30*AR145+0.20*AS145+0.10*AT145,0)</f>
        <v/>
      </c>
      <c r="AV145" t="inlineStr"/>
    </row>
    <row r="146">
      <c r="A146" t="inlineStr"/>
      <c r="B146" t="inlineStr">
        <is>
          <t>2026-04-17</t>
        </is>
      </c>
      <c r="C146" t="inlineStr">
        <is>
          <t>2026-02-08</t>
        </is>
      </c>
      <c r="D146" t="n">
        <v>1</v>
      </c>
      <c r="E146" t="inlineStr">
        <is>
          <t>SKU_0003</t>
        </is>
      </c>
      <c r="F146" t="inlineStr">
        <is>
          <t>DC4</t>
        </is>
      </c>
      <c r="G146" t="inlineStr">
        <is>
          <t>F1</t>
        </is>
      </c>
      <c r="H146" t="inlineStr">
        <is>
          <t>Seattle</t>
        </is>
      </c>
      <c r="I146" t="inlineStr">
        <is>
          <t>Northwest</t>
        </is>
      </c>
      <c r="J146" t="n">
        <v>47.6062</v>
      </c>
      <c r="K146" t="n">
        <v>-122.3321</v>
      </c>
      <c r="L146" t="inlineStr">
        <is>
          <t>DC</t>
        </is>
      </c>
      <c r="M146" t="inlineStr">
        <is>
          <t>Surgical &amp; Mechanical</t>
        </is>
      </c>
      <c r="N146" t="n">
        <v>404</v>
      </c>
      <c r="O146" t="n">
        <v>116</v>
      </c>
      <c r="P146" t="n">
        <v>0</v>
      </c>
      <c r="Q146" t="n">
        <v>116</v>
      </c>
      <c r="R146" t="n">
        <v>0</v>
      </c>
      <c r="S146" t="n">
        <v>268</v>
      </c>
      <c r="T146" t="n">
        <v>268</v>
      </c>
      <c r="U146" t="n">
        <v>0</v>
      </c>
      <c r="V146" t="n">
        <v>556</v>
      </c>
      <c r="W146" t="n">
        <v>33.6</v>
      </c>
      <c r="X146" t="n">
        <v>4</v>
      </c>
      <c r="Y146" t="n">
        <v>28</v>
      </c>
      <c r="Z146" t="n">
        <v>466</v>
      </c>
      <c r="AA146" t="n">
        <v>28</v>
      </c>
      <c r="AB146" t="n">
        <v>466</v>
      </c>
      <c r="AC146" t="n">
        <v>82</v>
      </c>
      <c r="AD146" t="n">
        <v>1368</v>
      </c>
      <c r="AE146" t="n">
        <v>466</v>
      </c>
      <c r="AF146" t="n">
        <v>1368</v>
      </c>
      <c r="AG146" t="n">
        <v>100</v>
      </c>
      <c r="AH146" t="n">
        <v>0</v>
      </c>
      <c r="AI146" t="n">
        <v>0</v>
      </c>
      <c r="AJ146" t="n">
        <v>0</v>
      </c>
      <c r="AK146" t="inlineStr">
        <is>
          <t>SM</t>
        </is>
      </c>
      <c r="AL146" t="inlineStr">
        <is>
          <t>None</t>
        </is>
      </c>
      <c r="AM146" t="inlineStr">
        <is>
          <t>None</t>
        </is>
      </c>
      <c r="AN146" t="inlineStr">
        <is>
          <t>Healthy</t>
        </is>
      </c>
      <c r="AO146" t="inlineStr">
        <is>
          <t>A</t>
        </is>
      </c>
      <c r="AP146" t="inlineStr"/>
      <c r="AQ146">
        <f>IF(AM146="P1",100,IF(AM146="P2",67,IF(AM146="P3",33,0)))</f>
        <v/>
      </c>
      <c r="AR146">
        <f>MIN(100,INT(IF(AI146&gt;0,AI146/Z146,AJ146/AD146)*100))</f>
        <v/>
      </c>
      <c r="AS146">
        <f>IF(AI146+AJ146=0,0,INT(100/D146))</f>
        <v/>
      </c>
      <c r="AT146">
        <f>IF(AO146="A",100,IF(AO146="B",67,33))</f>
        <v/>
      </c>
      <c r="AU146">
        <f>ROUND(0.40*AQ146+0.30*AR146+0.20*AS146+0.10*AT146,0)</f>
        <v/>
      </c>
      <c r="AV146" t="inlineStr"/>
    </row>
    <row r="147">
      <c r="A147" t="inlineStr">
        <is>
          <t>BD-24536581-00072</t>
        </is>
      </c>
      <c r="B147" t="inlineStr">
        <is>
          <t>2026-04-17</t>
        </is>
      </c>
      <c r="C147" t="inlineStr">
        <is>
          <t>2026-02-15</t>
        </is>
      </c>
      <c r="D147" t="n">
        <v>2</v>
      </c>
      <c r="E147" t="inlineStr">
        <is>
          <t>SKU_0003</t>
        </is>
      </c>
      <c r="F147" t="inlineStr">
        <is>
          <t>DC4</t>
        </is>
      </c>
      <c r="G147" t="inlineStr">
        <is>
          <t>F1</t>
        </is>
      </c>
      <c r="H147" t="inlineStr">
        <is>
          <t>Seattle</t>
        </is>
      </c>
      <c r="I147" t="inlineStr">
        <is>
          <t>Northwest</t>
        </is>
      </c>
      <c r="J147" t="n">
        <v>47.6062</v>
      </c>
      <c r="K147" t="n">
        <v>-122.3321</v>
      </c>
      <c r="L147" t="inlineStr">
        <is>
          <t>DC</t>
        </is>
      </c>
      <c r="M147" t="inlineStr">
        <is>
          <t>Surgical &amp; Mechanical</t>
        </is>
      </c>
      <c r="N147" t="n">
        <v>556</v>
      </c>
      <c r="O147" t="n">
        <v>150</v>
      </c>
      <c r="P147" t="n">
        <v>0</v>
      </c>
      <c r="Q147" t="n">
        <v>150</v>
      </c>
      <c r="R147" t="n">
        <v>0</v>
      </c>
      <c r="S147" t="n">
        <v>0</v>
      </c>
      <c r="T147" t="n">
        <v>0</v>
      </c>
      <c r="U147" t="n">
        <v>0</v>
      </c>
      <c r="V147" t="n">
        <v>406</v>
      </c>
      <c r="W147" t="n">
        <v>18.9</v>
      </c>
      <c r="X147" t="n">
        <v>4</v>
      </c>
      <c r="Y147" t="n">
        <v>28</v>
      </c>
      <c r="Z147" t="n">
        <v>466</v>
      </c>
      <c r="AA147" t="n">
        <v>28</v>
      </c>
      <c r="AB147" t="n">
        <v>466</v>
      </c>
      <c r="AC147" t="n">
        <v>82</v>
      </c>
      <c r="AD147" t="n">
        <v>1368</v>
      </c>
      <c r="AE147" t="n">
        <v>466</v>
      </c>
      <c r="AF147" t="n">
        <v>1368</v>
      </c>
      <c r="AG147" t="n">
        <v>87</v>
      </c>
      <c r="AH147" t="n">
        <v>0</v>
      </c>
      <c r="AI147" t="n">
        <v>60</v>
      </c>
      <c r="AJ147" t="n">
        <v>0</v>
      </c>
      <c r="AK147" t="inlineStr">
        <is>
          <t>SM</t>
        </is>
      </c>
      <c r="AL147" t="inlineStr">
        <is>
          <t>Medium MSTN</t>
        </is>
      </c>
      <c r="AM147" t="inlineStr">
        <is>
          <t>P2</t>
        </is>
      </c>
      <c r="AN147" t="inlineStr">
        <is>
          <t>At-Risk Stockout</t>
        </is>
      </c>
      <c r="AO147" t="inlineStr">
        <is>
          <t>A</t>
        </is>
      </c>
      <c r="AP147" t="inlineStr"/>
      <c r="AQ147">
        <f>IF(AM147="P1",100,IF(AM147="P2",67,IF(AM147="P3",33,0)))</f>
        <v/>
      </c>
      <c r="AR147">
        <f>MIN(100,INT(IF(AI147&gt;0,AI147/Z147,AJ147/AD147)*100))</f>
        <v/>
      </c>
      <c r="AS147">
        <f>IF(AI147+AJ147=0,0,INT(100/D147))</f>
        <v/>
      </c>
      <c r="AT147">
        <f>IF(AO147="A",100,IF(AO147="B",67,33))</f>
        <v/>
      </c>
      <c r="AU147">
        <f>ROUND(0.40*AQ147+0.30*AR147+0.20*AS147+0.10*AT147,0)</f>
        <v/>
      </c>
      <c r="AV147" t="inlineStr">
        <is>
          <t>Opening inventory of 556 and supply of 0 are sufficient to cover the demand of 150. However, the projected closing inventory of 406 falls 60 units below the target safety stock requirement of 466, compromising the critical service level buffer.</t>
        </is>
      </c>
    </row>
    <row r="148">
      <c r="A148" t="inlineStr"/>
      <c r="B148" t="inlineStr">
        <is>
          <t>2026-04-17</t>
        </is>
      </c>
      <c r="C148" t="inlineStr">
        <is>
          <t>2026-02-22</t>
        </is>
      </c>
      <c r="D148" t="n">
        <v>3</v>
      </c>
      <c r="E148" t="inlineStr">
        <is>
          <t>SKU_0003</t>
        </is>
      </c>
      <c r="F148" t="inlineStr">
        <is>
          <t>DC4</t>
        </is>
      </c>
      <c r="G148" t="inlineStr">
        <is>
          <t>F1</t>
        </is>
      </c>
      <c r="H148" t="inlineStr">
        <is>
          <t>Seattle</t>
        </is>
      </c>
      <c r="I148" t="inlineStr">
        <is>
          <t>Northwest</t>
        </is>
      </c>
      <c r="J148" t="n">
        <v>47.6062</v>
      </c>
      <c r="K148" t="n">
        <v>-122.3321</v>
      </c>
      <c r="L148" t="inlineStr">
        <is>
          <t>DC</t>
        </is>
      </c>
      <c r="M148" t="inlineStr">
        <is>
          <t>Surgical &amp; Mechanical</t>
        </is>
      </c>
      <c r="N148" t="n">
        <v>406</v>
      </c>
      <c r="O148" t="n">
        <v>92</v>
      </c>
      <c r="P148" t="n">
        <v>0</v>
      </c>
      <c r="Q148" t="n">
        <v>92</v>
      </c>
      <c r="R148" t="n">
        <v>0</v>
      </c>
      <c r="S148" t="n">
        <v>635</v>
      </c>
      <c r="T148" t="n">
        <v>635</v>
      </c>
      <c r="U148" t="n">
        <v>0</v>
      </c>
      <c r="V148" t="n">
        <v>949</v>
      </c>
      <c r="W148" t="n">
        <v>72.2</v>
      </c>
      <c r="X148" t="n">
        <v>4</v>
      </c>
      <c r="Y148" t="n">
        <v>28</v>
      </c>
      <c r="Z148" t="n">
        <v>466</v>
      </c>
      <c r="AA148" t="n">
        <v>28</v>
      </c>
      <c r="AB148" t="n">
        <v>466</v>
      </c>
      <c r="AC148" t="n">
        <v>82</v>
      </c>
      <c r="AD148" t="n">
        <v>1368</v>
      </c>
      <c r="AE148" t="n">
        <v>466</v>
      </c>
      <c r="AF148" t="n">
        <v>1368</v>
      </c>
      <c r="AG148" t="n">
        <v>100</v>
      </c>
      <c r="AH148" t="n">
        <v>0</v>
      </c>
      <c r="AI148" t="n">
        <v>0</v>
      </c>
      <c r="AJ148" t="n">
        <v>0</v>
      </c>
      <c r="AK148" t="inlineStr">
        <is>
          <t>SM</t>
        </is>
      </c>
      <c r="AL148" t="inlineStr">
        <is>
          <t>None</t>
        </is>
      </c>
      <c r="AM148" t="inlineStr">
        <is>
          <t>None</t>
        </is>
      </c>
      <c r="AN148" t="inlineStr">
        <is>
          <t>Healthy</t>
        </is>
      </c>
      <c r="AO148" t="inlineStr">
        <is>
          <t>A</t>
        </is>
      </c>
      <c r="AP148" t="inlineStr"/>
      <c r="AQ148">
        <f>IF(AM148="P1",100,IF(AM148="P2",67,IF(AM148="P3",33,0)))</f>
        <v/>
      </c>
      <c r="AR148">
        <f>MIN(100,INT(IF(AI148&gt;0,AI148/Z148,AJ148/AD148)*100))</f>
        <v/>
      </c>
      <c r="AS148">
        <f>IF(AI148+AJ148=0,0,INT(100/D148))</f>
        <v/>
      </c>
      <c r="AT148">
        <f>IF(AO148="A",100,IF(AO148="B",67,33))</f>
        <v/>
      </c>
      <c r="AU148">
        <f>ROUND(0.40*AQ148+0.30*AR148+0.20*AS148+0.10*AT148,0)</f>
        <v/>
      </c>
      <c r="AV148" t="inlineStr"/>
    </row>
    <row r="149">
      <c r="A149" t="inlineStr"/>
      <c r="B149" t="inlineStr">
        <is>
          <t>2026-04-17</t>
        </is>
      </c>
      <c r="C149" t="inlineStr">
        <is>
          <t>2026-03-01</t>
        </is>
      </c>
      <c r="D149" t="n">
        <v>4</v>
      </c>
      <c r="E149" t="inlineStr">
        <is>
          <t>SKU_0003</t>
        </is>
      </c>
      <c r="F149" t="inlineStr">
        <is>
          <t>DC4</t>
        </is>
      </c>
      <c r="G149" t="inlineStr">
        <is>
          <t>F1</t>
        </is>
      </c>
      <c r="H149" t="inlineStr">
        <is>
          <t>Seattle</t>
        </is>
      </c>
      <c r="I149" t="inlineStr">
        <is>
          <t>Northwest</t>
        </is>
      </c>
      <c r="J149" t="n">
        <v>47.6062</v>
      </c>
      <c r="K149" t="n">
        <v>-122.3321</v>
      </c>
      <c r="L149" t="inlineStr">
        <is>
          <t>DC</t>
        </is>
      </c>
      <c r="M149" t="inlineStr">
        <is>
          <t>Surgical &amp; Mechanical</t>
        </is>
      </c>
      <c r="N149" t="n">
        <v>949</v>
      </c>
      <c r="O149" t="n">
        <v>112</v>
      </c>
      <c r="P149" t="n">
        <v>0</v>
      </c>
      <c r="Q149" t="n">
        <v>112</v>
      </c>
      <c r="R149" t="n">
        <v>0</v>
      </c>
      <c r="S149" t="n">
        <v>0</v>
      </c>
      <c r="T149" t="n">
        <v>0</v>
      </c>
      <c r="U149" t="n">
        <v>0</v>
      </c>
      <c r="V149" t="n">
        <v>837</v>
      </c>
      <c r="W149" t="n">
        <v>52.3</v>
      </c>
      <c r="X149" t="n">
        <v>4</v>
      </c>
      <c r="Y149" t="n">
        <v>28</v>
      </c>
      <c r="Z149" t="n">
        <v>466</v>
      </c>
      <c r="AA149" t="n">
        <v>28</v>
      </c>
      <c r="AB149" t="n">
        <v>466</v>
      </c>
      <c r="AC149" t="n">
        <v>82</v>
      </c>
      <c r="AD149" t="n">
        <v>1368</v>
      </c>
      <c r="AE149" t="n">
        <v>466</v>
      </c>
      <c r="AF149" t="n">
        <v>1368</v>
      </c>
      <c r="AG149" t="n">
        <v>100</v>
      </c>
      <c r="AH149" t="n">
        <v>0</v>
      </c>
      <c r="AI149" t="n">
        <v>0</v>
      </c>
      <c r="AJ149" t="n">
        <v>0</v>
      </c>
      <c r="AK149" t="inlineStr">
        <is>
          <t>SM</t>
        </is>
      </c>
      <c r="AL149" t="inlineStr">
        <is>
          <t>None</t>
        </is>
      </c>
      <c r="AM149" t="inlineStr">
        <is>
          <t>None</t>
        </is>
      </c>
      <c r="AN149" t="inlineStr">
        <is>
          <t>Healthy</t>
        </is>
      </c>
      <c r="AO149" t="inlineStr">
        <is>
          <t>A</t>
        </is>
      </c>
      <c r="AP149" t="inlineStr"/>
      <c r="AQ149">
        <f>IF(AM149="P1",100,IF(AM149="P2",67,IF(AM149="P3",33,0)))</f>
        <v/>
      </c>
      <c r="AR149">
        <f>MIN(100,INT(IF(AI149&gt;0,AI149/Z149,AJ149/AD149)*100))</f>
        <v/>
      </c>
      <c r="AS149">
        <f>IF(AI149+AJ149=0,0,INT(100/D149))</f>
        <v/>
      </c>
      <c r="AT149">
        <f>IF(AO149="A",100,IF(AO149="B",67,33))</f>
        <v/>
      </c>
      <c r="AU149">
        <f>ROUND(0.40*AQ149+0.30*AR149+0.20*AS149+0.10*AT149,0)</f>
        <v/>
      </c>
      <c r="AV149" t="inlineStr"/>
    </row>
    <row r="150">
      <c r="A150" t="inlineStr"/>
      <c r="B150" t="inlineStr">
        <is>
          <t>2026-04-17</t>
        </is>
      </c>
      <c r="C150" t="inlineStr">
        <is>
          <t>2026-03-08</t>
        </is>
      </c>
      <c r="D150" t="n">
        <v>5</v>
      </c>
      <c r="E150" t="inlineStr">
        <is>
          <t>SKU_0003</t>
        </is>
      </c>
      <c r="F150" t="inlineStr">
        <is>
          <t>DC4</t>
        </is>
      </c>
      <c r="G150" t="inlineStr">
        <is>
          <t>F1</t>
        </is>
      </c>
      <c r="H150" t="inlineStr">
        <is>
          <t>Seattle</t>
        </is>
      </c>
      <c r="I150" t="inlineStr">
        <is>
          <t>Northwest</t>
        </is>
      </c>
      <c r="J150" t="n">
        <v>47.6062</v>
      </c>
      <c r="K150" t="n">
        <v>-122.3321</v>
      </c>
      <c r="L150" t="inlineStr">
        <is>
          <t>DC</t>
        </is>
      </c>
      <c r="M150" t="inlineStr">
        <is>
          <t>Surgical &amp; Mechanical</t>
        </is>
      </c>
      <c r="N150" t="n">
        <v>837</v>
      </c>
      <c r="O150" t="n">
        <v>83</v>
      </c>
      <c r="P150" t="n">
        <v>0</v>
      </c>
      <c r="Q150" t="n">
        <v>83</v>
      </c>
      <c r="R150" t="n">
        <v>0</v>
      </c>
      <c r="S150" t="n">
        <v>201</v>
      </c>
      <c r="T150" t="n">
        <v>201</v>
      </c>
      <c r="U150" t="n">
        <v>0</v>
      </c>
      <c r="V150" t="n">
        <v>955</v>
      </c>
      <c r="W150" t="n">
        <v>80.5</v>
      </c>
      <c r="X150" t="n">
        <v>4</v>
      </c>
      <c r="Y150" t="n">
        <v>28</v>
      </c>
      <c r="Z150" t="n">
        <v>466</v>
      </c>
      <c r="AA150" t="n">
        <v>28</v>
      </c>
      <c r="AB150" t="n">
        <v>466</v>
      </c>
      <c r="AC150" t="n">
        <v>82</v>
      </c>
      <c r="AD150" t="n">
        <v>1368</v>
      </c>
      <c r="AE150" t="n">
        <v>466</v>
      </c>
      <c r="AF150" t="n">
        <v>1368</v>
      </c>
      <c r="AG150" t="n">
        <v>100</v>
      </c>
      <c r="AH150" t="n">
        <v>0</v>
      </c>
      <c r="AI150" t="n">
        <v>0</v>
      </c>
      <c r="AJ150" t="n">
        <v>0</v>
      </c>
      <c r="AK150" t="inlineStr">
        <is>
          <t>SM</t>
        </is>
      </c>
      <c r="AL150" t="inlineStr">
        <is>
          <t>None</t>
        </is>
      </c>
      <c r="AM150" t="inlineStr">
        <is>
          <t>None</t>
        </is>
      </c>
      <c r="AN150" t="inlineStr">
        <is>
          <t>Healthy</t>
        </is>
      </c>
      <c r="AO150" t="inlineStr">
        <is>
          <t>A</t>
        </is>
      </c>
      <c r="AP150" t="inlineStr"/>
      <c r="AQ150">
        <f>IF(AM150="P1",100,IF(AM150="P2",67,IF(AM150="P3",33,0)))</f>
        <v/>
      </c>
      <c r="AR150">
        <f>MIN(100,INT(IF(AI150&gt;0,AI150/Z150,AJ150/AD150)*100))</f>
        <v/>
      </c>
      <c r="AS150">
        <f>IF(AI150+AJ150=0,0,INT(100/D150))</f>
        <v/>
      </c>
      <c r="AT150">
        <f>IF(AO150="A",100,IF(AO150="B",67,33))</f>
        <v/>
      </c>
      <c r="AU150">
        <f>ROUND(0.40*AQ150+0.30*AR150+0.20*AS150+0.10*AT150,0)</f>
        <v/>
      </c>
      <c r="AV150" t="inlineStr"/>
    </row>
    <row r="151">
      <c r="A151" t="inlineStr"/>
      <c r="B151" t="inlineStr">
        <is>
          <t>2026-04-17</t>
        </is>
      </c>
      <c r="C151" t="inlineStr">
        <is>
          <t>2026-03-15</t>
        </is>
      </c>
      <c r="D151" t="n">
        <v>6</v>
      </c>
      <c r="E151" t="inlineStr">
        <is>
          <t>SKU_0003</t>
        </is>
      </c>
      <c r="F151" t="inlineStr">
        <is>
          <t>DC4</t>
        </is>
      </c>
      <c r="G151" t="inlineStr">
        <is>
          <t>F1</t>
        </is>
      </c>
      <c r="H151" t="inlineStr">
        <is>
          <t>Seattle</t>
        </is>
      </c>
      <c r="I151" t="inlineStr">
        <is>
          <t>Northwest</t>
        </is>
      </c>
      <c r="J151" t="n">
        <v>47.6062</v>
      </c>
      <c r="K151" t="n">
        <v>-122.3321</v>
      </c>
      <c r="L151" t="inlineStr">
        <is>
          <t>DC</t>
        </is>
      </c>
      <c r="M151" t="inlineStr">
        <is>
          <t>Surgical &amp; Mechanical</t>
        </is>
      </c>
      <c r="N151" t="n">
        <v>955</v>
      </c>
      <c r="O151" t="n">
        <v>129</v>
      </c>
      <c r="P151" t="n">
        <v>0</v>
      </c>
      <c r="Q151" t="n">
        <v>129</v>
      </c>
      <c r="R151" t="n">
        <v>0</v>
      </c>
      <c r="S151" t="n">
        <v>202</v>
      </c>
      <c r="T151" t="n">
        <v>202</v>
      </c>
      <c r="U151" t="n">
        <v>0</v>
      </c>
      <c r="V151" t="n">
        <v>1028</v>
      </c>
      <c r="W151" t="n">
        <v>55.8</v>
      </c>
      <c r="X151" t="n">
        <v>4</v>
      </c>
      <c r="Y151" t="n">
        <v>28</v>
      </c>
      <c r="Z151" t="n">
        <v>466</v>
      </c>
      <c r="AA151" t="n">
        <v>28</v>
      </c>
      <c r="AB151" t="n">
        <v>466</v>
      </c>
      <c r="AC151" t="n">
        <v>82</v>
      </c>
      <c r="AD151" t="n">
        <v>1368</v>
      </c>
      <c r="AE151" t="n">
        <v>466</v>
      </c>
      <c r="AF151" t="n">
        <v>1368</v>
      </c>
      <c r="AG151" t="n">
        <v>100</v>
      </c>
      <c r="AH151" t="n">
        <v>0</v>
      </c>
      <c r="AI151" t="n">
        <v>0</v>
      </c>
      <c r="AJ151" t="n">
        <v>0</v>
      </c>
      <c r="AK151" t="inlineStr">
        <is>
          <t>SM</t>
        </is>
      </c>
      <c r="AL151" t="inlineStr">
        <is>
          <t>None</t>
        </is>
      </c>
      <c r="AM151" t="inlineStr">
        <is>
          <t>None</t>
        </is>
      </c>
      <c r="AN151" t="inlineStr">
        <is>
          <t>Healthy</t>
        </is>
      </c>
      <c r="AO151" t="inlineStr">
        <is>
          <t>A</t>
        </is>
      </c>
      <c r="AP151" t="inlineStr"/>
      <c r="AQ151">
        <f>IF(AM151="P1",100,IF(AM151="P2",67,IF(AM151="P3",33,0)))</f>
        <v/>
      </c>
      <c r="AR151">
        <f>MIN(100,INT(IF(AI151&gt;0,AI151/Z151,AJ151/AD151)*100))</f>
        <v/>
      </c>
      <c r="AS151">
        <f>IF(AI151+AJ151=0,0,INT(100/D151))</f>
        <v/>
      </c>
      <c r="AT151">
        <f>IF(AO151="A",100,IF(AO151="B",67,33))</f>
        <v/>
      </c>
      <c r="AU151">
        <f>ROUND(0.40*AQ151+0.30*AR151+0.20*AS151+0.10*AT151,0)</f>
        <v/>
      </c>
      <c r="AV151" t="inlineStr"/>
    </row>
    <row r="152">
      <c r="A152" t="inlineStr"/>
      <c r="B152" t="inlineStr">
        <is>
          <t>2026-04-17</t>
        </is>
      </c>
      <c r="C152" t="inlineStr">
        <is>
          <t>2026-03-22</t>
        </is>
      </c>
      <c r="D152" t="n">
        <v>7</v>
      </c>
      <c r="E152" t="inlineStr">
        <is>
          <t>SKU_0003</t>
        </is>
      </c>
      <c r="F152" t="inlineStr">
        <is>
          <t>DC4</t>
        </is>
      </c>
      <c r="G152" t="inlineStr">
        <is>
          <t>F1</t>
        </is>
      </c>
      <c r="H152" t="inlineStr">
        <is>
          <t>Seattle</t>
        </is>
      </c>
      <c r="I152" t="inlineStr">
        <is>
          <t>Northwest</t>
        </is>
      </c>
      <c r="J152" t="n">
        <v>47.6062</v>
      </c>
      <c r="K152" t="n">
        <v>-122.3321</v>
      </c>
      <c r="L152" t="inlineStr">
        <is>
          <t>DC</t>
        </is>
      </c>
      <c r="M152" t="inlineStr">
        <is>
          <t>Surgical &amp; Mechanical</t>
        </is>
      </c>
      <c r="N152" t="n">
        <v>1028</v>
      </c>
      <c r="O152" t="n">
        <v>102</v>
      </c>
      <c r="P152" t="n">
        <v>0</v>
      </c>
      <c r="Q152" t="n">
        <v>102</v>
      </c>
      <c r="R152" t="n">
        <v>0</v>
      </c>
      <c r="S152" t="n">
        <v>331</v>
      </c>
      <c r="T152" t="n">
        <v>331</v>
      </c>
      <c r="U152" t="n">
        <v>0</v>
      </c>
      <c r="V152" t="n">
        <v>1257</v>
      </c>
      <c r="W152" t="n">
        <v>86.3</v>
      </c>
      <c r="X152" t="n">
        <v>4</v>
      </c>
      <c r="Y152" t="n">
        <v>28</v>
      </c>
      <c r="Z152" t="n">
        <v>466</v>
      </c>
      <c r="AA152" t="n">
        <v>28</v>
      </c>
      <c r="AB152" t="n">
        <v>466</v>
      </c>
      <c r="AC152" t="n">
        <v>82</v>
      </c>
      <c r="AD152" t="n">
        <v>1368</v>
      </c>
      <c r="AE152" t="n">
        <v>466</v>
      </c>
      <c r="AF152" t="n">
        <v>1368</v>
      </c>
      <c r="AG152" t="n">
        <v>100</v>
      </c>
      <c r="AH152" t="n">
        <v>0</v>
      </c>
      <c r="AI152" t="n">
        <v>0</v>
      </c>
      <c r="AJ152" t="n">
        <v>0</v>
      </c>
      <c r="AK152" t="inlineStr">
        <is>
          <t>SM</t>
        </is>
      </c>
      <c r="AL152" t="inlineStr">
        <is>
          <t>None</t>
        </is>
      </c>
      <c r="AM152" t="inlineStr">
        <is>
          <t>None</t>
        </is>
      </c>
      <c r="AN152" t="inlineStr">
        <is>
          <t>Healthy</t>
        </is>
      </c>
      <c r="AO152" t="inlineStr">
        <is>
          <t>A</t>
        </is>
      </c>
      <c r="AP152" t="inlineStr"/>
      <c r="AQ152">
        <f>IF(AM152="P1",100,IF(AM152="P2",67,IF(AM152="P3",33,0)))</f>
        <v/>
      </c>
      <c r="AR152">
        <f>MIN(100,INT(IF(AI152&gt;0,AI152/Z152,AJ152/AD152)*100))</f>
        <v/>
      </c>
      <c r="AS152">
        <f>IF(AI152+AJ152=0,0,INT(100/D152))</f>
        <v/>
      </c>
      <c r="AT152">
        <f>IF(AO152="A",100,IF(AO152="B",67,33))</f>
        <v/>
      </c>
      <c r="AU152">
        <f>ROUND(0.40*AQ152+0.30*AR152+0.20*AS152+0.10*AT152,0)</f>
        <v/>
      </c>
      <c r="AV152" t="inlineStr"/>
    </row>
    <row r="153">
      <c r="A153" t="inlineStr">
        <is>
          <t>BD-24536581-00073</t>
        </is>
      </c>
      <c r="B153" t="inlineStr">
        <is>
          <t>2026-04-17</t>
        </is>
      </c>
      <c r="C153" t="inlineStr">
        <is>
          <t>2026-03-29</t>
        </is>
      </c>
      <c r="D153" t="n">
        <v>8</v>
      </c>
      <c r="E153" t="inlineStr">
        <is>
          <t>SKU_0003</t>
        </is>
      </c>
      <c r="F153" t="inlineStr">
        <is>
          <t>DC4</t>
        </is>
      </c>
      <c r="G153" t="inlineStr">
        <is>
          <t>F1</t>
        </is>
      </c>
      <c r="H153" t="inlineStr">
        <is>
          <t>Seattle</t>
        </is>
      </c>
      <c r="I153" t="inlineStr">
        <is>
          <t>Northwest</t>
        </is>
      </c>
      <c r="J153" t="n">
        <v>47.6062</v>
      </c>
      <c r="K153" t="n">
        <v>-122.3321</v>
      </c>
      <c r="L153" t="inlineStr">
        <is>
          <t>DC</t>
        </is>
      </c>
      <c r="M153" t="inlineStr">
        <is>
          <t>Surgical &amp; Mechanical</t>
        </is>
      </c>
      <c r="N153" t="n">
        <v>1257</v>
      </c>
      <c r="O153" t="n">
        <v>96</v>
      </c>
      <c r="P153" t="n">
        <v>0</v>
      </c>
      <c r="Q153" t="n">
        <v>96</v>
      </c>
      <c r="R153" t="n">
        <v>0</v>
      </c>
      <c r="S153" t="n">
        <v>266</v>
      </c>
      <c r="T153" t="n">
        <v>266</v>
      </c>
      <c r="U153" t="n">
        <v>0</v>
      </c>
      <c r="V153" t="n">
        <v>1427</v>
      </c>
      <c r="W153" t="n">
        <v>104.1</v>
      </c>
      <c r="X153" t="n">
        <v>4</v>
      </c>
      <c r="Y153" t="n">
        <v>28</v>
      </c>
      <c r="Z153" t="n">
        <v>466</v>
      </c>
      <c r="AA153" t="n">
        <v>28</v>
      </c>
      <c r="AB153" t="n">
        <v>466</v>
      </c>
      <c r="AC153" t="n">
        <v>82</v>
      </c>
      <c r="AD153" t="n">
        <v>1368</v>
      </c>
      <c r="AE153" t="n">
        <v>466</v>
      </c>
      <c r="AF153" t="n">
        <v>1368</v>
      </c>
      <c r="AG153" t="n">
        <v>100</v>
      </c>
      <c r="AH153" t="n">
        <v>4</v>
      </c>
      <c r="AI153" t="n">
        <v>0</v>
      </c>
      <c r="AJ153" t="n">
        <v>59</v>
      </c>
      <c r="AK153" t="inlineStr">
        <is>
          <t>SM</t>
        </is>
      </c>
      <c r="AL153" t="inlineStr">
        <is>
          <t>Low ESTN</t>
        </is>
      </c>
      <c r="AM153" t="inlineStr">
        <is>
          <t>P3</t>
        </is>
      </c>
      <c r="AN153" t="inlineStr">
        <is>
          <t>Potential Excess</t>
        </is>
      </c>
      <c r="AO153" t="inlineStr">
        <is>
          <t>A</t>
        </is>
      </c>
      <c r="AP153" t="inlineStr"/>
      <c r="AQ153">
        <f>IF(AM153="P1",100,IF(AM153="P2",67,IF(AM153="P3",33,0)))</f>
        <v/>
      </c>
      <c r="AR153">
        <f>MIN(100,INT(IF(AI153&gt;0,AI153/Z153,AJ153/AD153)*100))</f>
        <v/>
      </c>
      <c r="AS153">
        <f>IF(AI153+AJ153=0,0,INT(100/D153))</f>
        <v/>
      </c>
      <c r="AT153">
        <f>IF(AO153="A",100,IF(AO153="B",67,33))</f>
        <v/>
      </c>
      <c r="AU153">
        <f>ROUND(0.40*AQ153+0.30*AR153+0.20*AS153+0.10*AT153,0)</f>
        <v/>
      </c>
      <c r="AV153" t="inlineStr">
        <is>
          <t>Opening inventory of 1257 and supply of 266 exceed the demand of 96, resulting in a projected surplus of 1427. This inventory levels violates the maximum stock threshold of 1368 units by 59 units, increasing holding risk.</t>
        </is>
      </c>
    </row>
    <row r="154">
      <c r="A154" t="inlineStr"/>
      <c r="B154" t="inlineStr">
        <is>
          <t>2026-04-17</t>
        </is>
      </c>
      <c r="C154" t="inlineStr">
        <is>
          <t>2026-04-05</t>
        </is>
      </c>
      <c r="D154" t="n">
        <v>9</v>
      </c>
      <c r="E154" t="inlineStr">
        <is>
          <t>SKU_0003</t>
        </is>
      </c>
      <c r="F154" t="inlineStr">
        <is>
          <t>DC4</t>
        </is>
      </c>
      <c r="G154" t="inlineStr">
        <is>
          <t>F1</t>
        </is>
      </c>
      <c r="H154" t="inlineStr">
        <is>
          <t>Seattle</t>
        </is>
      </c>
      <c r="I154" t="inlineStr">
        <is>
          <t>Northwest</t>
        </is>
      </c>
      <c r="J154" t="n">
        <v>47.6062</v>
      </c>
      <c r="K154" t="n">
        <v>-122.3321</v>
      </c>
      <c r="L154" t="inlineStr">
        <is>
          <t>DC</t>
        </is>
      </c>
      <c r="M154" t="inlineStr">
        <is>
          <t>Surgical &amp; Mechanical</t>
        </is>
      </c>
      <c r="N154" t="n">
        <v>1427</v>
      </c>
      <c r="O154" t="n">
        <v>122</v>
      </c>
      <c r="P154" t="n">
        <v>0</v>
      </c>
      <c r="Q154" t="n">
        <v>122</v>
      </c>
      <c r="R154" t="n">
        <v>0</v>
      </c>
      <c r="S154" t="n">
        <v>244</v>
      </c>
      <c r="T154" t="n">
        <v>244</v>
      </c>
      <c r="U154" t="n">
        <v>0</v>
      </c>
      <c r="V154" t="n">
        <v>1549</v>
      </c>
      <c r="W154" t="n">
        <v>88.90000000000001</v>
      </c>
      <c r="X154" t="n">
        <v>4</v>
      </c>
      <c r="Y154" t="n">
        <v>28</v>
      </c>
      <c r="Z154" t="n">
        <v>466</v>
      </c>
      <c r="AA154" t="n">
        <v>28</v>
      </c>
      <c r="AB154" t="n">
        <v>466</v>
      </c>
      <c r="AC154" t="n">
        <v>82</v>
      </c>
      <c r="AD154" t="n">
        <v>1368</v>
      </c>
      <c r="AE154" t="n">
        <v>466</v>
      </c>
      <c r="AF154" t="n">
        <v>1368</v>
      </c>
      <c r="AG154" t="n">
        <v>100</v>
      </c>
      <c r="AH154" t="n">
        <v>13</v>
      </c>
      <c r="AI154" t="n">
        <v>0</v>
      </c>
      <c r="AJ154" t="n">
        <v>181</v>
      </c>
      <c r="AK154" t="inlineStr">
        <is>
          <t>SM</t>
        </is>
      </c>
      <c r="AL154" t="inlineStr">
        <is>
          <t>None</t>
        </is>
      </c>
      <c r="AM154" t="inlineStr">
        <is>
          <t>None</t>
        </is>
      </c>
      <c r="AN154" t="inlineStr">
        <is>
          <t>Healthy</t>
        </is>
      </c>
      <c r="AO154" t="inlineStr">
        <is>
          <t>A</t>
        </is>
      </c>
      <c r="AP154" t="inlineStr"/>
      <c r="AQ154">
        <f>IF(AM154="P1",100,IF(AM154="P2",67,IF(AM154="P3",33,0)))</f>
        <v/>
      </c>
      <c r="AR154">
        <f>MIN(100,INT(IF(AI154&gt;0,AI154/Z154,AJ154/AD154)*100))</f>
        <v/>
      </c>
      <c r="AS154">
        <f>IF(AI154+AJ154=0,0,INT(100/D154))</f>
        <v/>
      </c>
      <c r="AT154">
        <f>IF(AO154="A",100,IF(AO154="B",67,33))</f>
        <v/>
      </c>
      <c r="AU154">
        <f>ROUND(0.40*AQ154+0.30*AR154+0.20*AS154+0.10*AT154,0)</f>
        <v/>
      </c>
      <c r="AV154" t="inlineStr"/>
    </row>
    <row r="155">
      <c r="A155" t="inlineStr">
        <is>
          <t>BD-24536581-00074</t>
        </is>
      </c>
      <c r="B155" t="inlineStr">
        <is>
          <t>2026-04-17</t>
        </is>
      </c>
      <c r="C155" t="inlineStr">
        <is>
          <t>2026-04-12</t>
        </is>
      </c>
      <c r="D155" t="n">
        <v>10</v>
      </c>
      <c r="E155" t="inlineStr">
        <is>
          <t>SKU_0003</t>
        </is>
      </c>
      <c r="F155" t="inlineStr">
        <is>
          <t>DC4</t>
        </is>
      </c>
      <c r="G155" t="inlineStr">
        <is>
          <t>F1</t>
        </is>
      </c>
      <c r="H155" t="inlineStr">
        <is>
          <t>Seattle</t>
        </is>
      </c>
      <c r="I155" t="inlineStr">
        <is>
          <t>Northwest</t>
        </is>
      </c>
      <c r="J155" t="n">
        <v>47.6062</v>
      </c>
      <c r="K155" t="n">
        <v>-122.3321</v>
      </c>
      <c r="L155" t="inlineStr">
        <is>
          <t>DC</t>
        </is>
      </c>
      <c r="M155" t="inlineStr">
        <is>
          <t>Surgical &amp; Mechanical</t>
        </is>
      </c>
      <c r="N155" t="n">
        <v>1549</v>
      </c>
      <c r="O155" t="n">
        <v>115</v>
      </c>
      <c r="P155" t="n">
        <v>0</v>
      </c>
      <c r="Q155" t="n">
        <v>115</v>
      </c>
      <c r="R155" t="n">
        <v>0</v>
      </c>
      <c r="S155" t="n">
        <v>0</v>
      </c>
      <c r="T155" t="n">
        <v>0</v>
      </c>
      <c r="U155" t="n">
        <v>0</v>
      </c>
      <c r="V155" t="n">
        <v>1434</v>
      </c>
      <c r="W155" t="n">
        <v>87.3</v>
      </c>
      <c r="X155" t="n">
        <v>4</v>
      </c>
      <c r="Y155" t="n">
        <v>28</v>
      </c>
      <c r="Z155" t="n">
        <v>466</v>
      </c>
      <c r="AA155" t="n">
        <v>28</v>
      </c>
      <c r="AB155" t="n">
        <v>466</v>
      </c>
      <c r="AC155" t="n">
        <v>82</v>
      </c>
      <c r="AD155" t="n">
        <v>1368</v>
      </c>
      <c r="AE155" t="n">
        <v>466</v>
      </c>
      <c r="AF155" t="n">
        <v>1368</v>
      </c>
      <c r="AG155" t="n">
        <v>100</v>
      </c>
      <c r="AH155" t="n">
        <v>4</v>
      </c>
      <c r="AI155" t="n">
        <v>0</v>
      </c>
      <c r="AJ155" t="n">
        <v>66</v>
      </c>
      <c r="AK155" t="inlineStr">
        <is>
          <t>SM</t>
        </is>
      </c>
      <c r="AL155" t="inlineStr">
        <is>
          <t>Low ESTN</t>
        </is>
      </c>
      <c r="AM155" t="inlineStr">
        <is>
          <t>P3</t>
        </is>
      </c>
      <c r="AN155" t="inlineStr">
        <is>
          <t>Potential Excess</t>
        </is>
      </c>
      <c r="AO155" t="inlineStr">
        <is>
          <t>A</t>
        </is>
      </c>
      <c r="AP155" t="inlineStr"/>
      <c r="AQ155">
        <f>IF(AM155="P1",100,IF(AM155="P2",67,IF(AM155="P3",33,0)))</f>
        <v/>
      </c>
      <c r="AR155">
        <f>MIN(100,INT(IF(AI155&gt;0,AI155/Z155,AJ155/AD155)*100))</f>
        <v/>
      </c>
      <c r="AS155">
        <f>IF(AI155+AJ155=0,0,INT(100/D155))</f>
        <v/>
      </c>
      <c r="AT155">
        <f>IF(AO155="A",100,IF(AO155="B",67,33))</f>
        <v/>
      </c>
      <c r="AU155">
        <f>ROUND(0.40*AQ155+0.30*AR155+0.20*AS155+0.10*AT155,0)</f>
        <v/>
      </c>
      <c r="AV155" t="inlineStr">
        <is>
          <t>Opening inventory of 1549 and supply of 0 exceed the demand of 115, resulting in a projected surplus of 1434. This inventory levels violates the maximum stock threshold of 1368 units by 66 units, increasing holding risk.</t>
        </is>
      </c>
    </row>
    <row r="156">
      <c r="A156" t="inlineStr"/>
      <c r="B156" t="inlineStr">
        <is>
          <t>2026-04-17</t>
        </is>
      </c>
      <c r="C156" t="inlineStr">
        <is>
          <t>2026-04-19</t>
        </is>
      </c>
      <c r="D156" t="n">
        <v>11</v>
      </c>
      <c r="E156" t="inlineStr">
        <is>
          <t>SKU_0003</t>
        </is>
      </c>
      <c r="F156" t="inlineStr">
        <is>
          <t>DC4</t>
        </is>
      </c>
      <c r="G156" t="inlineStr">
        <is>
          <t>F1</t>
        </is>
      </c>
      <c r="H156" t="inlineStr">
        <is>
          <t>Seattle</t>
        </is>
      </c>
      <c r="I156" t="inlineStr">
        <is>
          <t>Northwest</t>
        </is>
      </c>
      <c r="J156" t="n">
        <v>47.6062</v>
      </c>
      <c r="K156" t="n">
        <v>-122.3321</v>
      </c>
      <c r="L156" t="inlineStr">
        <is>
          <t>DC</t>
        </is>
      </c>
      <c r="M156" t="inlineStr">
        <is>
          <t>Surgical &amp; Mechanical</t>
        </is>
      </c>
      <c r="N156" t="n">
        <v>1434</v>
      </c>
      <c r="O156" t="n">
        <v>103</v>
      </c>
      <c r="P156" t="n">
        <v>0</v>
      </c>
      <c r="Q156" t="n">
        <v>103</v>
      </c>
      <c r="R156" t="n">
        <v>0</v>
      </c>
      <c r="S156" t="n">
        <v>291</v>
      </c>
      <c r="T156" t="n">
        <v>291</v>
      </c>
      <c r="U156" t="n">
        <v>0</v>
      </c>
      <c r="V156" t="n">
        <v>1622</v>
      </c>
      <c r="W156" t="n">
        <v>110.2</v>
      </c>
      <c r="X156" t="n">
        <v>4</v>
      </c>
      <c r="Y156" t="n">
        <v>28</v>
      </c>
      <c r="Z156" t="n">
        <v>466</v>
      </c>
      <c r="AA156" t="n">
        <v>28</v>
      </c>
      <c r="AB156" t="n">
        <v>466</v>
      </c>
      <c r="AC156" t="n">
        <v>82</v>
      </c>
      <c r="AD156" t="n">
        <v>1368</v>
      </c>
      <c r="AE156" t="n">
        <v>466</v>
      </c>
      <c r="AF156" t="n">
        <v>1368</v>
      </c>
      <c r="AG156" t="n">
        <v>100</v>
      </c>
      <c r="AH156" t="n">
        <v>18</v>
      </c>
      <c r="AI156" t="n">
        <v>0</v>
      </c>
      <c r="AJ156" t="n">
        <v>254</v>
      </c>
      <c r="AK156" t="inlineStr">
        <is>
          <t>SM</t>
        </is>
      </c>
      <c r="AL156" t="inlineStr">
        <is>
          <t>None</t>
        </is>
      </c>
      <c r="AM156" t="inlineStr">
        <is>
          <t>None</t>
        </is>
      </c>
      <c r="AN156" t="inlineStr">
        <is>
          <t>Healthy</t>
        </is>
      </c>
      <c r="AO156" t="inlineStr">
        <is>
          <t>A</t>
        </is>
      </c>
      <c r="AP156" t="inlineStr"/>
      <c r="AQ156">
        <f>IF(AM156="P1",100,IF(AM156="P2",67,IF(AM156="P3",33,0)))</f>
        <v/>
      </c>
      <c r="AR156">
        <f>MIN(100,INT(IF(AI156&gt;0,AI156/Z156,AJ156/AD156)*100))</f>
        <v/>
      </c>
      <c r="AS156">
        <f>IF(AI156+AJ156=0,0,INT(100/D156))</f>
        <v/>
      </c>
      <c r="AT156">
        <f>IF(AO156="A",100,IF(AO156="B",67,33))</f>
        <v/>
      </c>
      <c r="AU156">
        <f>ROUND(0.40*AQ156+0.30*AR156+0.20*AS156+0.10*AT156,0)</f>
        <v/>
      </c>
      <c r="AV156" t="inlineStr"/>
    </row>
    <row r="157">
      <c r="A157" t="inlineStr">
        <is>
          <t>BD-24536581-00075</t>
        </is>
      </c>
      <c r="B157" t="inlineStr">
        <is>
          <t>2026-04-17</t>
        </is>
      </c>
      <c r="C157" t="inlineStr">
        <is>
          <t>2026-04-26</t>
        </is>
      </c>
      <c r="D157" t="n">
        <v>12</v>
      </c>
      <c r="E157" t="inlineStr">
        <is>
          <t>SKU_0003</t>
        </is>
      </c>
      <c r="F157" t="inlineStr">
        <is>
          <t>DC4</t>
        </is>
      </c>
      <c r="G157" t="inlineStr">
        <is>
          <t>F1</t>
        </is>
      </c>
      <c r="H157" t="inlineStr">
        <is>
          <t>Seattle</t>
        </is>
      </c>
      <c r="I157" t="inlineStr">
        <is>
          <t>Northwest</t>
        </is>
      </c>
      <c r="J157" t="n">
        <v>47.6062</v>
      </c>
      <c r="K157" t="n">
        <v>-122.3321</v>
      </c>
      <c r="L157" t="inlineStr">
        <is>
          <t>DC</t>
        </is>
      </c>
      <c r="M157" t="inlineStr">
        <is>
          <t>Surgical &amp; Mechanical</t>
        </is>
      </c>
      <c r="N157" t="n">
        <v>1622</v>
      </c>
      <c r="O157" t="n">
        <v>134</v>
      </c>
      <c r="P157" t="n">
        <v>0</v>
      </c>
      <c r="Q157" t="n">
        <v>134</v>
      </c>
      <c r="R157" t="n">
        <v>0</v>
      </c>
      <c r="S157" t="n">
        <v>0</v>
      </c>
      <c r="T157" t="n">
        <v>0</v>
      </c>
      <c r="U157" t="n">
        <v>0</v>
      </c>
      <c r="V157" t="n">
        <v>1488</v>
      </c>
      <c r="W157" t="n">
        <v>77.7</v>
      </c>
      <c r="X157" t="n">
        <v>4</v>
      </c>
      <c r="Y157" t="n">
        <v>28</v>
      </c>
      <c r="Z157" t="n">
        <v>466</v>
      </c>
      <c r="AA157" t="n">
        <v>28</v>
      </c>
      <c r="AB157" t="n">
        <v>466</v>
      </c>
      <c r="AC157" t="n">
        <v>82</v>
      </c>
      <c r="AD157" t="n">
        <v>1368</v>
      </c>
      <c r="AE157" t="n">
        <v>466</v>
      </c>
      <c r="AF157" t="n">
        <v>1368</v>
      </c>
      <c r="AG157" t="n">
        <v>100</v>
      </c>
      <c r="AH157" t="n">
        <v>8</v>
      </c>
      <c r="AI157" t="n">
        <v>0</v>
      </c>
      <c r="AJ157" t="n">
        <v>120</v>
      </c>
      <c r="AK157" t="inlineStr">
        <is>
          <t>SM</t>
        </is>
      </c>
      <c r="AL157" t="inlineStr">
        <is>
          <t>Low ESTN</t>
        </is>
      </c>
      <c r="AM157" t="inlineStr">
        <is>
          <t>P3</t>
        </is>
      </c>
      <c r="AN157" t="inlineStr">
        <is>
          <t>Potential Excess</t>
        </is>
      </c>
      <c r="AO157" t="inlineStr">
        <is>
          <t>A</t>
        </is>
      </c>
      <c r="AP157" t="inlineStr"/>
      <c r="AQ157">
        <f>IF(AM157="P1",100,IF(AM157="P2",67,IF(AM157="P3",33,0)))</f>
        <v/>
      </c>
      <c r="AR157">
        <f>MIN(100,INT(IF(AI157&gt;0,AI157/Z157,AJ157/AD157)*100))</f>
        <v/>
      </c>
      <c r="AS157">
        <f>IF(AI157+AJ157=0,0,INT(100/D157))</f>
        <v/>
      </c>
      <c r="AT157">
        <f>IF(AO157="A",100,IF(AO157="B",67,33))</f>
        <v/>
      </c>
      <c r="AU157">
        <f>ROUND(0.40*AQ157+0.30*AR157+0.20*AS157+0.10*AT157,0)</f>
        <v/>
      </c>
      <c r="AV157" t="inlineStr">
        <is>
          <t>Opening inventory of 1622 and supply of 0 exceed the demand of 134, resulting in a projected surplus of 1488. This inventory levels violates the maximum stock threshold of 1368 units by 120 units, increasing holding risk.</t>
        </is>
      </c>
    </row>
    <row r="158">
      <c r="A158" t="inlineStr">
        <is>
          <t>BD-24536581-00076</t>
        </is>
      </c>
      <c r="B158" t="inlineStr">
        <is>
          <t>2026-04-17</t>
        </is>
      </c>
      <c r="C158" t="inlineStr">
        <is>
          <t>2026-02-08</t>
        </is>
      </c>
      <c r="D158" t="n">
        <v>1</v>
      </c>
      <c r="E158" t="inlineStr">
        <is>
          <t>SKU_0003</t>
        </is>
      </c>
      <c r="F158" t="inlineStr">
        <is>
          <t>DC5</t>
        </is>
      </c>
      <c r="G158" t="inlineStr">
        <is>
          <t>F1</t>
        </is>
      </c>
      <c r="H158" t="inlineStr">
        <is>
          <t>Miami</t>
        </is>
      </c>
      <c r="I158" t="inlineStr">
        <is>
          <t>Southeast</t>
        </is>
      </c>
      <c r="J158" t="n">
        <v>25.7617</v>
      </c>
      <c r="K158" t="n">
        <v>-80.1918</v>
      </c>
      <c r="L158" t="inlineStr">
        <is>
          <t>DC</t>
        </is>
      </c>
      <c r="M158" t="inlineStr">
        <is>
          <t>Surgical &amp; Mechanical</t>
        </is>
      </c>
      <c r="N158" t="n">
        <v>1339</v>
      </c>
      <c r="O158" t="n">
        <v>59</v>
      </c>
      <c r="P158" t="n">
        <v>0</v>
      </c>
      <c r="Q158" t="n">
        <v>59</v>
      </c>
      <c r="R158" t="n">
        <v>148</v>
      </c>
      <c r="S158" t="n">
        <v>0</v>
      </c>
      <c r="T158" t="n">
        <v>148</v>
      </c>
      <c r="U158" t="n">
        <v>0</v>
      </c>
      <c r="V158" t="n">
        <v>1428</v>
      </c>
      <c r="W158" t="n">
        <v>169.4</v>
      </c>
      <c r="X158" t="n">
        <v>2</v>
      </c>
      <c r="Y158" t="n">
        <v>28</v>
      </c>
      <c r="Z158" t="n">
        <v>360</v>
      </c>
      <c r="AA158" t="n">
        <v>14</v>
      </c>
      <c r="AB158" t="n">
        <v>180</v>
      </c>
      <c r="AC158" t="n">
        <v>104</v>
      </c>
      <c r="AD158" t="n">
        <v>1342</v>
      </c>
      <c r="AE158" t="n">
        <v>360</v>
      </c>
      <c r="AF158" t="n">
        <v>1342</v>
      </c>
      <c r="AG158" t="n">
        <v>100</v>
      </c>
      <c r="AH158" t="n">
        <v>6</v>
      </c>
      <c r="AI158" t="n">
        <v>0</v>
      </c>
      <c r="AJ158" t="n">
        <v>86</v>
      </c>
      <c r="AK158" t="inlineStr">
        <is>
          <t>SM</t>
        </is>
      </c>
      <c r="AL158" t="inlineStr">
        <is>
          <t>Low ESTN</t>
        </is>
      </c>
      <c r="AM158" t="inlineStr">
        <is>
          <t>P2</t>
        </is>
      </c>
      <c r="AN158" t="inlineStr">
        <is>
          <t>At-Risk Excess</t>
        </is>
      </c>
      <c r="AO158" t="inlineStr">
        <is>
          <t>A</t>
        </is>
      </c>
      <c r="AP158" t="inlineStr"/>
      <c r="AQ158">
        <f>IF(AM158="P1",100,IF(AM158="P2",67,IF(AM158="P3",33,0)))</f>
        <v/>
      </c>
      <c r="AR158">
        <f>MIN(100,INT(IF(AI158&gt;0,AI158/Z158,AJ158/AD158)*100))</f>
        <v/>
      </c>
      <c r="AS158">
        <f>IF(AI158+AJ158=0,0,INT(100/D158))</f>
        <v/>
      </c>
      <c r="AT158">
        <f>IF(AO158="A",100,IF(AO158="B",67,33))</f>
        <v/>
      </c>
      <c r="AU158">
        <f>ROUND(0.40*AQ158+0.30*AR158+0.20*AS158+0.10*AT158,0)</f>
        <v/>
      </c>
      <c r="AV158" t="inlineStr">
        <is>
          <t>Opening inventory of 1339 and supply of 0 exceed the demand of 59, resulting in a projected surplus of 1428. This inventory levels violates the maximum stock threshold of 1342 units by 86 units, increasing holding risk.</t>
        </is>
      </c>
    </row>
    <row r="159">
      <c r="A159" t="inlineStr"/>
      <c r="B159" t="inlineStr">
        <is>
          <t>2026-04-17</t>
        </is>
      </c>
      <c r="C159" t="inlineStr">
        <is>
          <t>2026-02-15</t>
        </is>
      </c>
      <c r="D159" t="n">
        <v>2</v>
      </c>
      <c r="E159" t="inlineStr">
        <is>
          <t>SKU_0003</t>
        </is>
      </c>
      <c r="F159" t="inlineStr">
        <is>
          <t>DC5</t>
        </is>
      </c>
      <c r="G159" t="inlineStr">
        <is>
          <t>F1</t>
        </is>
      </c>
      <c r="H159" t="inlineStr">
        <is>
          <t>Miami</t>
        </is>
      </c>
      <c r="I159" t="inlineStr">
        <is>
          <t>Southeast</t>
        </is>
      </c>
      <c r="J159" t="n">
        <v>25.7617</v>
      </c>
      <c r="K159" t="n">
        <v>-80.1918</v>
      </c>
      <c r="L159" t="inlineStr">
        <is>
          <t>DC</t>
        </is>
      </c>
      <c r="M159" t="inlineStr">
        <is>
          <t>Surgical &amp; Mechanical</t>
        </is>
      </c>
      <c r="N159" t="n">
        <v>1428</v>
      </c>
      <c r="O159" t="n">
        <v>99</v>
      </c>
      <c r="P159" t="n">
        <v>0</v>
      </c>
      <c r="Q159" t="n">
        <v>99</v>
      </c>
      <c r="R159" t="n">
        <v>0</v>
      </c>
      <c r="S159" t="n">
        <v>0</v>
      </c>
      <c r="T159" t="n">
        <v>0</v>
      </c>
      <c r="U159" t="n">
        <v>0</v>
      </c>
      <c r="V159" t="n">
        <v>1329</v>
      </c>
      <c r="W159" t="n">
        <v>94</v>
      </c>
      <c r="X159" t="n">
        <v>2</v>
      </c>
      <c r="Y159" t="n">
        <v>28</v>
      </c>
      <c r="Z159" t="n">
        <v>360</v>
      </c>
      <c r="AA159" t="n">
        <v>14</v>
      </c>
      <c r="AB159" t="n">
        <v>180</v>
      </c>
      <c r="AC159" t="n">
        <v>104</v>
      </c>
      <c r="AD159" t="n">
        <v>1342</v>
      </c>
      <c r="AE159" t="n">
        <v>360</v>
      </c>
      <c r="AF159" t="n">
        <v>1342</v>
      </c>
      <c r="AG159" t="n">
        <v>100</v>
      </c>
      <c r="AH159" t="n">
        <v>0</v>
      </c>
      <c r="AI159" t="n">
        <v>0</v>
      </c>
      <c r="AJ159" t="n">
        <v>0</v>
      </c>
      <c r="AK159" t="inlineStr">
        <is>
          <t>SM</t>
        </is>
      </c>
      <c r="AL159" t="inlineStr">
        <is>
          <t>None</t>
        </is>
      </c>
      <c r="AM159" t="inlineStr">
        <is>
          <t>None</t>
        </is>
      </c>
      <c r="AN159" t="inlineStr">
        <is>
          <t>Healthy</t>
        </is>
      </c>
      <c r="AO159" t="inlineStr">
        <is>
          <t>A</t>
        </is>
      </c>
      <c r="AP159" t="inlineStr"/>
      <c r="AQ159">
        <f>IF(AM159="P1",100,IF(AM159="P2",67,IF(AM159="P3",33,0)))</f>
        <v/>
      </c>
      <c r="AR159">
        <f>MIN(100,INT(IF(AI159&gt;0,AI159/Z159,AJ159/AD159)*100))</f>
        <v/>
      </c>
      <c r="AS159">
        <f>IF(AI159+AJ159=0,0,INT(100/D159))</f>
        <v/>
      </c>
      <c r="AT159">
        <f>IF(AO159="A",100,IF(AO159="B",67,33))</f>
        <v/>
      </c>
      <c r="AU159">
        <f>ROUND(0.40*AQ159+0.30*AR159+0.20*AS159+0.10*AT159,0)</f>
        <v/>
      </c>
      <c r="AV159" t="inlineStr"/>
    </row>
    <row r="160">
      <c r="A160" t="inlineStr">
        <is>
          <t>BD-24536581-00077</t>
        </is>
      </c>
      <c r="B160" t="inlineStr">
        <is>
          <t>2026-04-17</t>
        </is>
      </c>
      <c r="C160" t="inlineStr">
        <is>
          <t>2026-02-22</t>
        </is>
      </c>
      <c r="D160" t="n">
        <v>3</v>
      </c>
      <c r="E160" t="inlineStr">
        <is>
          <t>SKU_0003</t>
        </is>
      </c>
      <c r="F160" t="inlineStr">
        <is>
          <t>DC5</t>
        </is>
      </c>
      <c r="G160" t="inlineStr">
        <is>
          <t>F1</t>
        </is>
      </c>
      <c r="H160" t="inlineStr">
        <is>
          <t>Miami</t>
        </is>
      </c>
      <c r="I160" t="inlineStr">
        <is>
          <t>Southeast</t>
        </is>
      </c>
      <c r="J160" t="n">
        <v>25.7617</v>
      </c>
      <c r="K160" t="n">
        <v>-80.1918</v>
      </c>
      <c r="L160" t="inlineStr">
        <is>
          <t>DC</t>
        </is>
      </c>
      <c r="M160" t="inlineStr">
        <is>
          <t>Surgical &amp; Mechanical</t>
        </is>
      </c>
      <c r="N160" t="n">
        <v>1329</v>
      </c>
      <c r="O160" t="n">
        <v>81</v>
      </c>
      <c r="P160" t="n">
        <v>0</v>
      </c>
      <c r="Q160" t="n">
        <v>81</v>
      </c>
      <c r="R160" t="n">
        <v>194</v>
      </c>
      <c r="S160" t="n">
        <v>0</v>
      </c>
      <c r="T160" t="n">
        <v>194</v>
      </c>
      <c r="U160" t="n">
        <v>0</v>
      </c>
      <c r="V160" t="n">
        <v>1442</v>
      </c>
      <c r="W160" t="n">
        <v>124.6</v>
      </c>
      <c r="X160" t="n">
        <v>2</v>
      </c>
      <c r="Y160" t="n">
        <v>28</v>
      </c>
      <c r="Z160" t="n">
        <v>360</v>
      </c>
      <c r="AA160" t="n">
        <v>14</v>
      </c>
      <c r="AB160" t="n">
        <v>180</v>
      </c>
      <c r="AC160" t="n">
        <v>104</v>
      </c>
      <c r="AD160" t="n">
        <v>1342</v>
      </c>
      <c r="AE160" t="n">
        <v>360</v>
      </c>
      <c r="AF160" t="n">
        <v>1342</v>
      </c>
      <c r="AG160" t="n">
        <v>100</v>
      </c>
      <c r="AH160" t="n">
        <v>7</v>
      </c>
      <c r="AI160" t="n">
        <v>0</v>
      </c>
      <c r="AJ160" t="n">
        <v>100</v>
      </c>
      <c r="AK160" t="inlineStr">
        <is>
          <t>SM</t>
        </is>
      </c>
      <c r="AL160" t="inlineStr">
        <is>
          <t>Low ESTN</t>
        </is>
      </c>
      <c r="AM160" t="inlineStr">
        <is>
          <t>P2</t>
        </is>
      </c>
      <c r="AN160" t="inlineStr">
        <is>
          <t>At-Risk Excess</t>
        </is>
      </c>
      <c r="AO160" t="inlineStr">
        <is>
          <t>A</t>
        </is>
      </c>
      <c r="AP160" t="inlineStr"/>
      <c r="AQ160">
        <f>IF(AM160="P1",100,IF(AM160="P2",67,IF(AM160="P3",33,0)))</f>
        <v/>
      </c>
      <c r="AR160">
        <f>MIN(100,INT(IF(AI160&gt;0,AI160/Z160,AJ160/AD160)*100))</f>
        <v/>
      </c>
      <c r="AS160">
        <f>IF(AI160+AJ160=0,0,INT(100/D160))</f>
        <v/>
      </c>
      <c r="AT160">
        <f>IF(AO160="A",100,IF(AO160="B",67,33))</f>
        <v/>
      </c>
      <c r="AU160">
        <f>ROUND(0.40*AQ160+0.30*AR160+0.20*AS160+0.10*AT160,0)</f>
        <v/>
      </c>
      <c r="AV160" t="inlineStr">
        <is>
          <t>Opening inventory of 1329 and supply of 0 exceed the demand of 81, resulting in a projected surplus of 1442. This inventory levels violates the maximum stock threshold of 1342 units by 100 units, increasing holding risk.</t>
        </is>
      </c>
    </row>
    <row r="161">
      <c r="A161" t="inlineStr"/>
      <c r="B161" t="inlineStr">
        <is>
          <t>2026-04-17</t>
        </is>
      </c>
      <c r="C161" t="inlineStr">
        <is>
          <t>2026-03-01</t>
        </is>
      </c>
      <c r="D161" t="n">
        <v>4</v>
      </c>
      <c r="E161" t="inlineStr">
        <is>
          <t>SKU_0003</t>
        </is>
      </c>
      <c r="F161" t="inlineStr">
        <is>
          <t>DC5</t>
        </is>
      </c>
      <c r="G161" t="inlineStr">
        <is>
          <t>F1</t>
        </is>
      </c>
      <c r="H161" t="inlineStr">
        <is>
          <t>Miami</t>
        </is>
      </c>
      <c r="I161" t="inlineStr">
        <is>
          <t>Southeast</t>
        </is>
      </c>
      <c r="J161" t="n">
        <v>25.7617</v>
      </c>
      <c r="K161" t="n">
        <v>-80.1918</v>
      </c>
      <c r="L161" t="inlineStr">
        <is>
          <t>DC</t>
        </is>
      </c>
      <c r="M161" t="inlineStr">
        <is>
          <t>Surgical &amp; Mechanical</t>
        </is>
      </c>
      <c r="N161" t="n">
        <v>1442</v>
      </c>
      <c r="O161" t="n">
        <v>84</v>
      </c>
      <c r="P161" t="n">
        <v>0</v>
      </c>
      <c r="Q161" t="n">
        <v>84</v>
      </c>
      <c r="R161" t="n">
        <v>0</v>
      </c>
      <c r="S161" t="n">
        <v>199</v>
      </c>
      <c r="T161" t="n">
        <v>199</v>
      </c>
      <c r="U161" t="n">
        <v>0</v>
      </c>
      <c r="V161" t="n">
        <v>1557</v>
      </c>
      <c r="W161" t="n">
        <v>129.8</v>
      </c>
      <c r="X161" t="n">
        <v>2</v>
      </c>
      <c r="Y161" t="n">
        <v>28</v>
      </c>
      <c r="Z161" t="n">
        <v>360</v>
      </c>
      <c r="AA161" t="n">
        <v>14</v>
      </c>
      <c r="AB161" t="n">
        <v>180</v>
      </c>
      <c r="AC161" t="n">
        <v>104</v>
      </c>
      <c r="AD161" t="n">
        <v>1342</v>
      </c>
      <c r="AE161" t="n">
        <v>360</v>
      </c>
      <c r="AF161" t="n">
        <v>1342</v>
      </c>
      <c r="AG161" t="n">
        <v>100</v>
      </c>
      <c r="AH161" t="n">
        <v>16</v>
      </c>
      <c r="AI161" t="n">
        <v>0</v>
      </c>
      <c r="AJ161" t="n">
        <v>215</v>
      </c>
      <c r="AK161" t="inlineStr">
        <is>
          <t>SM</t>
        </is>
      </c>
      <c r="AL161" t="inlineStr">
        <is>
          <t>None</t>
        </is>
      </c>
      <c r="AM161" t="inlineStr">
        <is>
          <t>None</t>
        </is>
      </c>
      <c r="AN161" t="inlineStr">
        <is>
          <t>Healthy</t>
        </is>
      </c>
      <c r="AO161" t="inlineStr">
        <is>
          <t>A</t>
        </is>
      </c>
      <c r="AP161" t="inlineStr"/>
      <c r="AQ161">
        <f>IF(AM161="P1",100,IF(AM161="P2",67,IF(AM161="P3",33,0)))</f>
        <v/>
      </c>
      <c r="AR161">
        <f>MIN(100,INT(IF(AI161&gt;0,AI161/Z161,AJ161/AD161)*100))</f>
        <v/>
      </c>
      <c r="AS161">
        <f>IF(AI161+AJ161=0,0,INT(100/D161))</f>
        <v/>
      </c>
      <c r="AT161">
        <f>IF(AO161="A",100,IF(AO161="B",67,33))</f>
        <v/>
      </c>
      <c r="AU161">
        <f>ROUND(0.40*AQ161+0.30*AR161+0.20*AS161+0.10*AT161,0)</f>
        <v/>
      </c>
      <c r="AV161" t="inlineStr"/>
    </row>
    <row r="162">
      <c r="A162" t="inlineStr">
        <is>
          <t>BD-24536581-00078</t>
        </is>
      </c>
      <c r="B162" t="inlineStr">
        <is>
          <t>2026-04-17</t>
        </is>
      </c>
      <c r="C162" t="inlineStr">
        <is>
          <t>2026-03-08</t>
        </is>
      </c>
      <c r="D162" t="n">
        <v>5</v>
      </c>
      <c r="E162" t="inlineStr">
        <is>
          <t>SKU_0003</t>
        </is>
      </c>
      <c r="F162" t="inlineStr">
        <is>
          <t>DC5</t>
        </is>
      </c>
      <c r="G162" t="inlineStr">
        <is>
          <t>F1</t>
        </is>
      </c>
      <c r="H162" t="inlineStr">
        <is>
          <t>Miami</t>
        </is>
      </c>
      <c r="I162" t="inlineStr">
        <is>
          <t>Southeast</t>
        </is>
      </c>
      <c r="J162" t="n">
        <v>25.7617</v>
      </c>
      <c r="K162" t="n">
        <v>-80.1918</v>
      </c>
      <c r="L162" t="inlineStr">
        <is>
          <t>DC</t>
        </is>
      </c>
      <c r="M162" t="inlineStr">
        <is>
          <t>Surgical &amp; Mechanical</t>
        </is>
      </c>
      <c r="N162" t="n">
        <v>1557</v>
      </c>
      <c r="O162" t="n">
        <v>78</v>
      </c>
      <c r="P162" t="n">
        <v>0</v>
      </c>
      <c r="Q162" t="n">
        <v>78</v>
      </c>
      <c r="R162" t="n">
        <v>0</v>
      </c>
      <c r="S162" t="n">
        <v>408</v>
      </c>
      <c r="T162" t="n">
        <v>408</v>
      </c>
      <c r="U162" t="n">
        <v>0</v>
      </c>
      <c r="V162" t="n">
        <v>1887</v>
      </c>
      <c r="W162" t="n">
        <v>169.3</v>
      </c>
      <c r="X162" t="n">
        <v>2</v>
      </c>
      <c r="Y162" t="n">
        <v>28</v>
      </c>
      <c r="Z162" t="n">
        <v>360</v>
      </c>
      <c r="AA162" t="n">
        <v>14</v>
      </c>
      <c r="AB162" t="n">
        <v>180</v>
      </c>
      <c r="AC162" t="n">
        <v>104</v>
      </c>
      <c r="AD162" t="n">
        <v>1342</v>
      </c>
      <c r="AE162" t="n">
        <v>360</v>
      </c>
      <c r="AF162" t="n">
        <v>1342</v>
      </c>
      <c r="AG162" t="n">
        <v>100</v>
      </c>
      <c r="AH162" t="n">
        <v>40</v>
      </c>
      <c r="AI162" t="n">
        <v>0</v>
      </c>
      <c r="AJ162" t="n">
        <v>545</v>
      </c>
      <c r="AK162" t="inlineStr">
        <is>
          <t>SM</t>
        </is>
      </c>
      <c r="AL162" t="inlineStr">
        <is>
          <t>High ESTN</t>
        </is>
      </c>
      <c r="AM162" t="inlineStr">
        <is>
          <t>P1</t>
        </is>
      </c>
      <c r="AN162" t="inlineStr">
        <is>
          <t>Critical Excess</t>
        </is>
      </c>
      <c r="AO162" t="inlineStr">
        <is>
          <t>A</t>
        </is>
      </c>
      <c r="AP162" t="inlineStr"/>
      <c r="AQ162">
        <f>IF(AM162="P1",100,IF(AM162="P2",67,IF(AM162="P3",33,0)))</f>
        <v/>
      </c>
      <c r="AR162">
        <f>MIN(100,INT(IF(AI162&gt;0,AI162/Z162,AJ162/AD162)*100))</f>
        <v/>
      </c>
      <c r="AS162">
        <f>IF(AI162+AJ162=0,0,INT(100/D162))</f>
        <v/>
      </c>
      <c r="AT162">
        <f>IF(AO162="A",100,IF(AO162="B",67,33))</f>
        <v/>
      </c>
      <c r="AU162">
        <f>ROUND(0.40*AQ162+0.30*AR162+0.20*AS162+0.10*AT162,0)</f>
        <v/>
      </c>
      <c r="AV162" t="inlineStr">
        <is>
          <t>Opening inventory of 1557 and supply of 408 exceed the demand of 78, resulting in a projected surplus of 1887. This inventory levels violates the maximum stock threshold of 1342 units by 545 units, increasing holding risk.</t>
        </is>
      </c>
    </row>
    <row r="163">
      <c r="A163" t="inlineStr">
        <is>
          <t>BD-24536581-00079</t>
        </is>
      </c>
      <c r="B163" t="inlineStr">
        <is>
          <t>2026-04-17</t>
        </is>
      </c>
      <c r="C163" t="inlineStr">
        <is>
          <t>2026-03-15</t>
        </is>
      </c>
      <c r="D163" t="n">
        <v>6</v>
      </c>
      <c r="E163" t="inlineStr">
        <is>
          <t>SKU_0003</t>
        </is>
      </c>
      <c r="F163" t="inlineStr">
        <is>
          <t>DC5</t>
        </is>
      </c>
      <c r="G163" t="inlineStr">
        <is>
          <t>F1</t>
        </is>
      </c>
      <c r="H163" t="inlineStr">
        <is>
          <t>Miami</t>
        </is>
      </c>
      <c r="I163" t="inlineStr">
        <is>
          <t>Southeast</t>
        </is>
      </c>
      <c r="J163" t="n">
        <v>25.7617</v>
      </c>
      <c r="K163" t="n">
        <v>-80.1918</v>
      </c>
      <c r="L163" t="inlineStr">
        <is>
          <t>DC</t>
        </is>
      </c>
      <c r="M163" t="inlineStr">
        <is>
          <t>Surgical &amp; Mechanical</t>
        </is>
      </c>
      <c r="N163" t="n">
        <v>1887</v>
      </c>
      <c r="O163" t="n">
        <v>90</v>
      </c>
      <c r="P163" t="n">
        <v>0</v>
      </c>
      <c r="Q163" t="n">
        <v>90</v>
      </c>
      <c r="R163" t="n">
        <v>0</v>
      </c>
      <c r="S163" t="n">
        <v>268</v>
      </c>
      <c r="T163" t="n">
        <v>268</v>
      </c>
      <c r="U163" t="n">
        <v>0</v>
      </c>
      <c r="V163" t="n">
        <v>2065</v>
      </c>
      <c r="W163" t="n">
        <v>160.6</v>
      </c>
      <c r="X163" t="n">
        <v>2</v>
      </c>
      <c r="Y163" t="n">
        <v>28</v>
      </c>
      <c r="Z163" t="n">
        <v>360</v>
      </c>
      <c r="AA163" t="n">
        <v>14</v>
      </c>
      <c r="AB163" t="n">
        <v>180</v>
      </c>
      <c r="AC163" t="n">
        <v>104</v>
      </c>
      <c r="AD163" t="n">
        <v>1342</v>
      </c>
      <c r="AE163" t="n">
        <v>360</v>
      </c>
      <c r="AF163" t="n">
        <v>1342</v>
      </c>
      <c r="AG163" t="n">
        <v>100</v>
      </c>
      <c r="AH163" t="n">
        <v>53</v>
      </c>
      <c r="AI163" t="n">
        <v>0</v>
      </c>
      <c r="AJ163" t="n">
        <v>723</v>
      </c>
      <c r="AK163" t="inlineStr">
        <is>
          <t>SM</t>
        </is>
      </c>
      <c r="AL163" t="inlineStr">
        <is>
          <t>High ESTN</t>
        </is>
      </c>
      <c r="AM163" t="inlineStr">
        <is>
          <t>P1</t>
        </is>
      </c>
      <c r="AN163" t="inlineStr">
        <is>
          <t>Critical Excess</t>
        </is>
      </c>
      <c r="AO163" t="inlineStr">
        <is>
          <t>A</t>
        </is>
      </c>
      <c r="AP163" t="inlineStr"/>
      <c r="AQ163">
        <f>IF(AM163="P1",100,IF(AM163="P2",67,IF(AM163="P3",33,0)))</f>
        <v/>
      </c>
      <c r="AR163">
        <f>MIN(100,INT(IF(AI163&gt;0,AI163/Z163,AJ163/AD163)*100))</f>
        <v/>
      </c>
      <c r="AS163">
        <f>IF(AI163+AJ163=0,0,INT(100/D163))</f>
        <v/>
      </c>
      <c r="AT163">
        <f>IF(AO163="A",100,IF(AO163="B",67,33))</f>
        <v/>
      </c>
      <c r="AU163">
        <f>ROUND(0.40*AQ163+0.30*AR163+0.20*AS163+0.10*AT163,0)</f>
        <v/>
      </c>
      <c r="AV163" t="inlineStr">
        <is>
          <t>Opening inventory of 1887 and supply of 268 exceed the demand of 90, resulting in a projected surplus of 2065. This inventory levels violates the maximum stock threshold of 1342 units by 723 units, increasing holding risk.</t>
        </is>
      </c>
    </row>
    <row r="164">
      <c r="A164" t="inlineStr">
        <is>
          <t>BD-24536581-00080</t>
        </is>
      </c>
      <c r="B164" t="inlineStr">
        <is>
          <t>2026-04-17</t>
        </is>
      </c>
      <c r="C164" t="inlineStr">
        <is>
          <t>2026-03-22</t>
        </is>
      </c>
      <c r="D164" t="n">
        <v>7</v>
      </c>
      <c r="E164" t="inlineStr">
        <is>
          <t>SKU_0003</t>
        </is>
      </c>
      <c r="F164" t="inlineStr">
        <is>
          <t>DC5</t>
        </is>
      </c>
      <c r="G164" t="inlineStr">
        <is>
          <t>F1</t>
        </is>
      </c>
      <c r="H164" t="inlineStr">
        <is>
          <t>Miami</t>
        </is>
      </c>
      <c r="I164" t="inlineStr">
        <is>
          <t>Southeast</t>
        </is>
      </c>
      <c r="J164" t="n">
        <v>25.7617</v>
      </c>
      <c r="K164" t="n">
        <v>-80.1918</v>
      </c>
      <c r="L164" t="inlineStr">
        <is>
          <t>DC</t>
        </is>
      </c>
      <c r="M164" t="inlineStr">
        <is>
          <t>Surgical &amp; Mechanical</t>
        </is>
      </c>
      <c r="N164" t="n">
        <v>2065</v>
      </c>
      <c r="O164" t="n">
        <v>108</v>
      </c>
      <c r="P164" t="n">
        <v>0</v>
      </c>
      <c r="Q164" t="n">
        <v>108</v>
      </c>
      <c r="R164" t="n">
        <v>0</v>
      </c>
      <c r="S164" t="n">
        <v>605</v>
      </c>
      <c r="T164" t="n">
        <v>605</v>
      </c>
      <c r="U164" t="n">
        <v>0</v>
      </c>
      <c r="V164" t="n">
        <v>2562</v>
      </c>
      <c r="W164" t="n">
        <v>166.1</v>
      </c>
      <c r="X164" t="n">
        <v>2</v>
      </c>
      <c r="Y164" t="n">
        <v>28</v>
      </c>
      <c r="Z164" t="n">
        <v>360</v>
      </c>
      <c r="AA164" t="n">
        <v>14</v>
      </c>
      <c r="AB164" t="n">
        <v>180</v>
      </c>
      <c r="AC164" t="n">
        <v>104</v>
      </c>
      <c r="AD164" t="n">
        <v>1342</v>
      </c>
      <c r="AE164" t="n">
        <v>360</v>
      </c>
      <c r="AF164" t="n">
        <v>1342</v>
      </c>
      <c r="AG164" t="n">
        <v>100</v>
      </c>
      <c r="AH164" t="n">
        <v>90</v>
      </c>
      <c r="AI164" t="n">
        <v>0</v>
      </c>
      <c r="AJ164" t="n">
        <v>1220</v>
      </c>
      <c r="AK164" t="inlineStr">
        <is>
          <t>SM</t>
        </is>
      </c>
      <c r="AL164" t="inlineStr">
        <is>
          <t>High ESTN</t>
        </is>
      </c>
      <c r="AM164" t="inlineStr">
        <is>
          <t>P1</t>
        </is>
      </c>
      <c r="AN164" t="inlineStr">
        <is>
          <t>Critical Excess</t>
        </is>
      </c>
      <c r="AO164" t="inlineStr">
        <is>
          <t>A</t>
        </is>
      </c>
      <c r="AP164" t="inlineStr"/>
      <c r="AQ164">
        <f>IF(AM164="P1",100,IF(AM164="P2",67,IF(AM164="P3",33,0)))</f>
        <v/>
      </c>
      <c r="AR164">
        <f>MIN(100,INT(IF(AI164&gt;0,AI164/Z164,AJ164/AD164)*100))</f>
        <v/>
      </c>
      <c r="AS164">
        <f>IF(AI164+AJ164=0,0,INT(100/D164))</f>
        <v/>
      </c>
      <c r="AT164">
        <f>IF(AO164="A",100,IF(AO164="B",67,33))</f>
        <v/>
      </c>
      <c r="AU164">
        <f>ROUND(0.40*AQ164+0.30*AR164+0.20*AS164+0.10*AT164,0)</f>
        <v/>
      </c>
      <c r="AV164" t="inlineStr">
        <is>
          <t>Opening inventory of 2065 and supply of 605 exceed the demand of 108, resulting in a projected surplus of 2562. This inventory levels violates the maximum stock threshold of 1342 units by 1220 units, increasing holding risk.</t>
        </is>
      </c>
    </row>
    <row r="165">
      <c r="A165" t="inlineStr">
        <is>
          <t>BD-24536581-00081</t>
        </is>
      </c>
      <c r="B165" t="inlineStr">
        <is>
          <t>2026-04-17</t>
        </is>
      </c>
      <c r="C165" t="inlineStr">
        <is>
          <t>2026-03-29</t>
        </is>
      </c>
      <c r="D165" t="n">
        <v>8</v>
      </c>
      <c r="E165" t="inlineStr">
        <is>
          <t>SKU_0003</t>
        </is>
      </c>
      <c r="F165" t="inlineStr">
        <is>
          <t>DC5</t>
        </is>
      </c>
      <c r="G165" t="inlineStr">
        <is>
          <t>F1</t>
        </is>
      </c>
      <c r="H165" t="inlineStr">
        <is>
          <t>Miami</t>
        </is>
      </c>
      <c r="I165" t="inlineStr">
        <is>
          <t>Southeast</t>
        </is>
      </c>
      <c r="J165" t="n">
        <v>25.7617</v>
      </c>
      <c r="K165" t="n">
        <v>-80.1918</v>
      </c>
      <c r="L165" t="inlineStr">
        <is>
          <t>DC</t>
        </is>
      </c>
      <c r="M165" t="inlineStr">
        <is>
          <t>Surgical &amp; Mechanical</t>
        </is>
      </c>
      <c r="N165" t="n">
        <v>2562</v>
      </c>
      <c r="O165" t="n">
        <v>79</v>
      </c>
      <c r="P165" t="n">
        <v>0</v>
      </c>
      <c r="Q165" t="n">
        <v>79</v>
      </c>
      <c r="R165" t="n">
        <v>0</v>
      </c>
      <c r="S165" t="n">
        <v>0</v>
      </c>
      <c r="T165" t="n">
        <v>0</v>
      </c>
      <c r="U165" t="n">
        <v>0</v>
      </c>
      <c r="V165" t="n">
        <v>2483</v>
      </c>
      <c r="W165" t="n">
        <v>220</v>
      </c>
      <c r="X165" t="n">
        <v>2</v>
      </c>
      <c r="Y165" t="n">
        <v>28</v>
      </c>
      <c r="Z165" t="n">
        <v>360</v>
      </c>
      <c r="AA165" t="n">
        <v>14</v>
      </c>
      <c r="AB165" t="n">
        <v>180</v>
      </c>
      <c r="AC165" t="n">
        <v>104</v>
      </c>
      <c r="AD165" t="n">
        <v>1342</v>
      </c>
      <c r="AE165" t="n">
        <v>360</v>
      </c>
      <c r="AF165" t="n">
        <v>1342</v>
      </c>
      <c r="AG165" t="n">
        <v>100</v>
      </c>
      <c r="AH165" t="n">
        <v>85</v>
      </c>
      <c r="AI165" t="n">
        <v>0</v>
      </c>
      <c r="AJ165" t="n">
        <v>1141</v>
      </c>
      <c r="AK165" t="inlineStr">
        <is>
          <t>SM</t>
        </is>
      </c>
      <c r="AL165" t="inlineStr">
        <is>
          <t>High ESTN</t>
        </is>
      </c>
      <c r="AM165" t="inlineStr">
        <is>
          <t>P1</t>
        </is>
      </c>
      <c r="AN165" t="inlineStr">
        <is>
          <t>Critical Excess</t>
        </is>
      </c>
      <c r="AO165" t="inlineStr">
        <is>
          <t>A</t>
        </is>
      </c>
      <c r="AP165" t="inlineStr"/>
      <c r="AQ165">
        <f>IF(AM165="P1",100,IF(AM165="P2",67,IF(AM165="P3",33,0)))</f>
        <v/>
      </c>
      <c r="AR165">
        <f>MIN(100,INT(IF(AI165&gt;0,AI165/Z165,AJ165/AD165)*100))</f>
        <v/>
      </c>
      <c r="AS165">
        <f>IF(AI165+AJ165=0,0,INT(100/D165))</f>
        <v/>
      </c>
      <c r="AT165">
        <f>IF(AO165="A",100,IF(AO165="B",67,33))</f>
        <v/>
      </c>
      <c r="AU165">
        <f>ROUND(0.40*AQ165+0.30*AR165+0.20*AS165+0.10*AT165,0)</f>
        <v/>
      </c>
      <c r="AV165" t="inlineStr">
        <is>
          <t>Opening inventory of 2562 and supply of 0 exceed the demand of 79, resulting in a projected surplus of 2483. This inventory levels violates the maximum stock threshold of 1342 units by 1141 units, increasing holding risk.</t>
        </is>
      </c>
    </row>
    <row r="166">
      <c r="A166" t="inlineStr">
        <is>
          <t>BD-24536581-00082</t>
        </is>
      </c>
      <c r="B166" t="inlineStr">
        <is>
          <t>2026-04-17</t>
        </is>
      </c>
      <c r="C166" t="inlineStr">
        <is>
          <t>2026-04-05</t>
        </is>
      </c>
      <c r="D166" t="n">
        <v>9</v>
      </c>
      <c r="E166" t="inlineStr">
        <is>
          <t>SKU_0003</t>
        </is>
      </c>
      <c r="F166" t="inlineStr">
        <is>
          <t>DC5</t>
        </is>
      </c>
      <c r="G166" t="inlineStr">
        <is>
          <t>F1</t>
        </is>
      </c>
      <c r="H166" t="inlineStr">
        <is>
          <t>Miami</t>
        </is>
      </c>
      <c r="I166" t="inlineStr">
        <is>
          <t>Southeast</t>
        </is>
      </c>
      <c r="J166" t="n">
        <v>25.7617</v>
      </c>
      <c r="K166" t="n">
        <v>-80.1918</v>
      </c>
      <c r="L166" t="inlineStr">
        <is>
          <t>DC</t>
        </is>
      </c>
      <c r="M166" t="inlineStr">
        <is>
          <t>Surgical &amp; Mechanical</t>
        </is>
      </c>
      <c r="N166" t="n">
        <v>2483</v>
      </c>
      <c r="O166" t="n">
        <v>45</v>
      </c>
      <c r="P166" t="n">
        <v>0</v>
      </c>
      <c r="Q166" t="n">
        <v>45</v>
      </c>
      <c r="R166" t="n">
        <v>0</v>
      </c>
      <c r="S166" t="n">
        <v>694</v>
      </c>
      <c r="T166" t="n">
        <v>694</v>
      </c>
      <c r="U166" t="n">
        <v>0</v>
      </c>
      <c r="V166" t="n">
        <v>3132</v>
      </c>
      <c r="W166" t="n">
        <v>487.2</v>
      </c>
      <c r="X166" t="n">
        <v>2</v>
      </c>
      <c r="Y166" t="n">
        <v>28</v>
      </c>
      <c r="Z166" t="n">
        <v>360</v>
      </c>
      <c r="AA166" t="n">
        <v>14</v>
      </c>
      <c r="AB166" t="n">
        <v>180</v>
      </c>
      <c r="AC166" t="n">
        <v>104</v>
      </c>
      <c r="AD166" t="n">
        <v>1342</v>
      </c>
      <c r="AE166" t="n">
        <v>360</v>
      </c>
      <c r="AF166" t="n">
        <v>1342</v>
      </c>
      <c r="AG166" t="n">
        <v>100</v>
      </c>
      <c r="AH166" t="n">
        <v>133</v>
      </c>
      <c r="AI166" t="n">
        <v>0</v>
      </c>
      <c r="AJ166" t="n">
        <v>1790</v>
      </c>
      <c r="AK166" t="inlineStr">
        <is>
          <t>SM</t>
        </is>
      </c>
      <c r="AL166" t="inlineStr">
        <is>
          <t>High ESTN</t>
        </is>
      </c>
      <c r="AM166" t="inlineStr">
        <is>
          <t>P1</t>
        </is>
      </c>
      <c r="AN166" t="inlineStr">
        <is>
          <t>Critical Excess</t>
        </is>
      </c>
      <c r="AO166" t="inlineStr">
        <is>
          <t>A</t>
        </is>
      </c>
      <c r="AP166" t="inlineStr"/>
      <c r="AQ166">
        <f>IF(AM166="P1",100,IF(AM166="P2",67,IF(AM166="P3",33,0)))</f>
        <v/>
      </c>
      <c r="AR166">
        <f>MIN(100,INT(IF(AI166&gt;0,AI166/Z166,AJ166/AD166)*100))</f>
        <v/>
      </c>
      <c r="AS166">
        <f>IF(AI166+AJ166=0,0,INT(100/D166))</f>
        <v/>
      </c>
      <c r="AT166">
        <f>IF(AO166="A",100,IF(AO166="B",67,33))</f>
        <v/>
      </c>
      <c r="AU166">
        <f>ROUND(0.40*AQ166+0.30*AR166+0.20*AS166+0.10*AT166,0)</f>
        <v/>
      </c>
      <c r="AV166" t="inlineStr">
        <is>
          <t>Opening inventory of 2483 and supply of 694 exceed the demand of 45, resulting in a projected surplus of 3132. This inventory levels violates the maximum stock threshold of 1342 units by 1790 units, increasing holding risk.</t>
        </is>
      </c>
    </row>
    <row r="167">
      <c r="A167" t="inlineStr">
        <is>
          <t>BD-24536581-00083</t>
        </is>
      </c>
      <c r="B167" t="inlineStr">
        <is>
          <t>2026-04-17</t>
        </is>
      </c>
      <c r="C167" t="inlineStr">
        <is>
          <t>2026-04-12</t>
        </is>
      </c>
      <c r="D167" t="n">
        <v>10</v>
      </c>
      <c r="E167" t="inlineStr">
        <is>
          <t>SKU_0003</t>
        </is>
      </c>
      <c r="F167" t="inlineStr">
        <is>
          <t>DC5</t>
        </is>
      </c>
      <c r="G167" t="inlineStr">
        <is>
          <t>F1</t>
        </is>
      </c>
      <c r="H167" t="inlineStr">
        <is>
          <t>Miami</t>
        </is>
      </c>
      <c r="I167" t="inlineStr">
        <is>
          <t>Southeast</t>
        </is>
      </c>
      <c r="J167" t="n">
        <v>25.7617</v>
      </c>
      <c r="K167" t="n">
        <v>-80.1918</v>
      </c>
      <c r="L167" t="inlineStr">
        <is>
          <t>DC</t>
        </is>
      </c>
      <c r="M167" t="inlineStr">
        <is>
          <t>Surgical &amp; Mechanical</t>
        </is>
      </c>
      <c r="N167" t="n">
        <v>3132</v>
      </c>
      <c r="O167" t="n">
        <v>75</v>
      </c>
      <c r="P167" t="n">
        <v>0</v>
      </c>
      <c r="Q167" t="n">
        <v>75</v>
      </c>
      <c r="R167" t="n">
        <v>0</v>
      </c>
      <c r="S167" t="n">
        <v>0</v>
      </c>
      <c r="T167" t="n">
        <v>0</v>
      </c>
      <c r="U167" t="n">
        <v>0</v>
      </c>
      <c r="V167" t="n">
        <v>3057</v>
      </c>
      <c r="W167" t="n">
        <v>285.3</v>
      </c>
      <c r="X167" t="n">
        <v>2</v>
      </c>
      <c r="Y167" t="n">
        <v>28</v>
      </c>
      <c r="Z167" t="n">
        <v>360</v>
      </c>
      <c r="AA167" t="n">
        <v>14</v>
      </c>
      <c r="AB167" t="n">
        <v>180</v>
      </c>
      <c r="AC167" t="n">
        <v>104</v>
      </c>
      <c r="AD167" t="n">
        <v>1342</v>
      </c>
      <c r="AE167" t="n">
        <v>360</v>
      </c>
      <c r="AF167" t="n">
        <v>1342</v>
      </c>
      <c r="AG167" t="n">
        <v>100</v>
      </c>
      <c r="AH167" t="n">
        <v>127</v>
      </c>
      <c r="AI167" t="n">
        <v>0</v>
      </c>
      <c r="AJ167" t="n">
        <v>1715</v>
      </c>
      <c r="AK167" t="inlineStr">
        <is>
          <t>SM</t>
        </is>
      </c>
      <c r="AL167" t="inlineStr">
        <is>
          <t>High ESTN</t>
        </is>
      </c>
      <c r="AM167" t="inlineStr">
        <is>
          <t>P1</t>
        </is>
      </c>
      <c r="AN167" t="inlineStr">
        <is>
          <t>Critical Excess</t>
        </is>
      </c>
      <c r="AO167" t="inlineStr">
        <is>
          <t>A</t>
        </is>
      </c>
      <c r="AP167" t="inlineStr"/>
      <c r="AQ167">
        <f>IF(AM167="P1",100,IF(AM167="P2",67,IF(AM167="P3",33,0)))</f>
        <v/>
      </c>
      <c r="AR167">
        <f>MIN(100,INT(IF(AI167&gt;0,AI167/Z167,AJ167/AD167)*100))</f>
        <v/>
      </c>
      <c r="AS167">
        <f>IF(AI167+AJ167=0,0,INT(100/D167))</f>
        <v/>
      </c>
      <c r="AT167">
        <f>IF(AO167="A",100,IF(AO167="B",67,33))</f>
        <v/>
      </c>
      <c r="AU167">
        <f>ROUND(0.40*AQ167+0.30*AR167+0.20*AS167+0.10*AT167,0)</f>
        <v/>
      </c>
      <c r="AV167" t="inlineStr">
        <is>
          <t>Opening inventory of 3132 and supply of 0 exceed the demand of 75, resulting in a projected surplus of 3057. This inventory levels violates the maximum stock threshold of 1342 units by 1715 units, increasing holding risk.</t>
        </is>
      </c>
    </row>
    <row r="168">
      <c r="A168" t="inlineStr">
        <is>
          <t>BD-24536581-00084</t>
        </is>
      </c>
      <c r="B168" t="inlineStr">
        <is>
          <t>2026-04-17</t>
        </is>
      </c>
      <c r="C168" t="inlineStr">
        <is>
          <t>2026-04-19</t>
        </is>
      </c>
      <c r="D168" t="n">
        <v>11</v>
      </c>
      <c r="E168" t="inlineStr">
        <is>
          <t>SKU_0003</t>
        </is>
      </c>
      <c r="F168" t="inlineStr">
        <is>
          <t>DC5</t>
        </is>
      </c>
      <c r="G168" t="inlineStr">
        <is>
          <t>F1</t>
        </is>
      </c>
      <c r="H168" t="inlineStr">
        <is>
          <t>Miami</t>
        </is>
      </c>
      <c r="I168" t="inlineStr">
        <is>
          <t>Southeast</t>
        </is>
      </c>
      <c r="J168" t="n">
        <v>25.7617</v>
      </c>
      <c r="K168" t="n">
        <v>-80.1918</v>
      </c>
      <c r="L168" t="inlineStr">
        <is>
          <t>DC</t>
        </is>
      </c>
      <c r="M168" t="inlineStr">
        <is>
          <t>Surgical &amp; Mechanical</t>
        </is>
      </c>
      <c r="N168" t="n">
        <v>3057</v>
      </c>
      <c r="O168" t="n">
        <v>96</v>
      </c>
      <c r="P168" t="n">
        <v>0</v>
      </c>
      <c r="Q168" t="n">
        <v>96</v>
      </c>
      <c r="R168" t="n">
        <v>101</v>
      </c>
      <c r="S168" t="n">
        <v>0</v>
      </c>
      <c r="T168" t="n">
        <v>101</v>
      </c>
      <c r="U168" t="n">
        <v>0</v>
      </c>
      <c r="V168" t="n">
        <v>3062</v>
      </c>
      <c r="W168" t="n">
        <v>223.3</v>
      </c>
      <c r="X168" t="n">
        <v>2</v>
      </c>
      <c r="Y168" t="n">
        <v>28</v>
      </c>
      <c r="Z168" t="n">
        <v>360</v>
      </c>
      <c r="AA168" t="n">
        <v>14</v>
      </c>
      <c r="AB168" t="n">
        <v>180</v>
      </c>
      <c r="AC168" t="n">
        <v>104</v>
      </c>
      <c r="AD168" t="n">
        <v>1342</v>
      </c>
      <c r="AE168" t="n">
        <v>360</v>
      </c>
      <c r="AF168" t="n">
        <v>1342</v>
      </c>
      <c r="AG168" t="n">
        <v>100</v>
      </c>
      <c r="AH168" t="n">
        <v>128</v>
      </c>
      <c r="AI168" t="n">
        <v>0</v>
      </c>
      <c r="AJ168" t="n">
        <v>1720</v>
      </c>
      <c r="AK168" t="inlineStr">
        <is>
          <t>SM</t>
        </is>
      </c>
      <c r="AL168" t="inlineStr">
        <is>
          <t>High ESTN</t>
        </is>
      </c>
      <c r="AM168" t="inlineStr">
        <is>
          <t>P1</t>
        </is>
      </c>
      <c r="AN168" t="inlineStr">
        <is>
          <t>Critical Excess</t>
        </is>
      </c>
      <c r="AO168" t="inlineStr">
        <is>
          <t>A</t>
        </is>
      </c>
      <c r="AP168" t="inlineStr"/>
      <c r="AQ168">
        <f>IF(AM168="P1",100,IF(AM168="P2",67,IF(AM168="P3",33,0)))</f>
        <v/>
      </c>
      <c r="AR168">
        <f>MIN(100,INT(IF(AI168&gt;0,AI168/Z168,AJ168/AD168)*100))</f>
        <v/>
      </c>
      <c r="AS168">
        <f>IF(AI168+AJ168=0,0,INT(100/D168))</f>
        <v/>
      </c>
      <c r="AT168">
        <f>IF(AO168="A",100,IF(AO168="B",67,33))</f>
        <v/>
      </c>
      <c r="AU168">
        <f>ROUND(0.40*AQ168+0.30*AR168+0.20*AS168+0.10*AT168,0)</f>
        <v/>
      </c>
      <c r="AV168" t="inlineStr">
        <is>
          <t>Opening inventory of 3057 and supply of 0 exceed the demand of 96, resulting in a projected surplus of 3062. This inventory levels violates the maximum stock threshold of 1342 units by 1720 units, increasing holding risk.</t>
        </is>
      </c>
    </row>
    <row r="169">
      <c r="A169" t="inlineStr">
        <is>
          <t>BD-24536581-00085</t>
        </is>
      </c>
      <c r="B169" t="inlineStr">
        <is>
          <t>2026-04-17</t>
        </is>
      </c>
      <c r="C169" t="inlineStr">
        <is>
          <t>2026-04-26</t>
        </is>
      </c>
      <c r="D169" t="n">
        <v>12</v>
      </c>
      <c r="E169" t="inlineStr">
        <is>
          <t>SKU_0003</t>
        </is>
      </c>
      <c r="F169" t="inlineStr">
        <is>
          <t>DC5</t>
        </is>
      </c>
      <c r="G169" t="inlineStr">
        <is>
          <t>F1</t>
        </is>
      </c>
      <c r="H169" t="inlineStr">
        <is>
          <t>Miami</t>
        </is>
      </c>
      <c r="I169" t="inlineStr">
        <is>
          <t>Southeast</t>
        </is>
      </c>
      <c r="J169" t="n">
        <v>25.7617</v>
      </c>
      <c r="K169" t="n">
        <v>-80.1918</v>
      </c>
      <c r="L169" t="inlineStr">
        <is>
          <t>DC</t>
        </is>
      </c>
      <c r="M169" t="inlineStr">
        <is>
          <t>Surgical &amp; Mechanical</t>
        </is>
      </c>
      <c r="N169" t="n">
        <v>3062</v>
      </c>
      <c r="O169" t="n">
        <v>79</v>
      </c>
      <c r="P169" t="n">
        <v>0</v>
      </c>
      <c r="Q169" t="n">
        <v>79</v>
      </c>
      <c r="R169" t="n">
        <v>0</v>
      </c>
      <c r="S169" t="n">
        <v>0</v>
      </c>
      <c r="T169" t="n">
        <v>0</v>
      </c>
      <c r="U169" t="n">
        <v>0</v>
      </c>
      <c r="V169" t="n">
        <v>2983</v>
      </c>
      <c r="W169" t="n">
        <v>264.3</v>
      </c>
      <c r="X169" t="n">
        <v>2</v>
      </c>
      <c r="Y169" t="n">
        <v>28</v>
      </c>
      <c r="Z169" t="n">
        <v>360</v>
      </c>
      <c r="AA169" t="n">
        <v>14</v>
      </c>
      <c r="AB169" t="n">
        <v>180</v>
      </c>
      <c r="AC169" t="n">
        <v>104</v>
      </c>
      <c r="AD169" t="n">
        <v>1342</v>
      </c>
      <c r="AE169" t="n">
        <v>360</v>
      </c>
      <c r="AF169" t="n">
        <v>1342</v>
      </c>
      <c r="AG169" t="n">
        <v>100</v>
      </c>
      <c r="AH169" t="n">
        <v>122</v>
      </c>
      <c r="AI169" t="n">
        <v>0</v>
      </c>
      <c r="AJ169" t="n">
        <v>1641</v>
      </c>
      <c r="AK169" t="inlineStr">
        <is>
          <t>SM</t>
        </is>
      </c>
      <c r="AL169" t="inlineStr">
        <is>
          <t>High ESTN</t>
        </is>
      </c>
      <c r="AM169" t="inlineStr">
        <is>
          <t>P1</t>
        </is>
      </c>
      <c r="AN169" t="inlineStr">
        <is>
          <t>Critical Excess</t>
        </is>
      </c>
      <c r="AO169" t="inlineStr">
        <is>
          <t>A</t>
        </is>
      </c>
      <c r="AP169" t="inlineStr"/>
      <c r="AQ169">
        <f>IF(AM169="P1",100,IF(AM169="P2",67,IF(AM169="P3",33,0)))</f>
        <v/>
      </c>
      <c r="AR169">
        <f>MIN(100,INT(IF(AI169&gt;0,AI169/Z169,AJ169/AD169)*100))</f>
        <v/>
      </c>
      <c r="AS169">
        <f>IF(AI169+AJ169=0,0,INT(100/D169))</f>
        <v/>
      </c>
      <c r="AT169">
        <f>IF(AO169="A",100,IF(AO169="B",67,33))</f>
        <v/>
      </c>
      <c r="AU169">
        <f>ROUND(0.40*AQ169+0.30*AR169+0.20*AS169+0.10*AT169,0)</f>
        <v/>
      </c>
      <c r="AV169" t="inlineStr">
        <is>
          <t>Opening inventory of 3062 and supply of 0 exceed the demand of 79, resulting in a projected surplus of 2983. This inventory levels violates the maximum stock threshold of 1342 units by 1641 units, increasing holding risk.</t>
        </is>
      </c>
    </row>
    <row r="170">
      <c r="A170" t="inlineStr"/>
      <c r="B170" t="inlineStr">
        <is>
          <t>2026-04-17</t>
        </is>
      </c>
      <c r="C170" t="inlineStr">
        <is>
          <t>2026-02-08</t>
        </is>
      </c>
      <c r="D170" t="n">
        <v>1</v>
      </c>
      <c r="E170" t="inlineStr">
        <is>
          <t>SKU_0003</t>
        </is>
      </c>
      <c r="F170" t="inlineStr">
        <is>
          <t>F1</t>
        </is>
      </c>
      <c r="G170" t="inlineStr">
        <is>
          <t>F1</t>
        </is>
      </c>
      <c r="H170" t="inlineStr">
        <is>
          <t>Detroit</t>
        </is>
      </c>
      <c r="I170" t="inlineStr">
        <is>
          <t>Midwest</t>
        </is>
      </c>
      <c r="J170" t="n">
        <v>42.3314</v>
      </c>
      <c r="K170" t="n">
        <v>-83.0458</v>
      </c>
      <c r="L170" t="inlineStr">
        <is>
          <t>Factory</t>
        </is>
      </c>
      <c r="M170" t="inlineStr">
        <is>
          <t>Surgical &amp; Mechanical</t>
        </is>
      </c>
      <c r="N170" t="n">
        <v>2773</v>
      </c>
      <c r="O170" t="n">
        <v>193</v>
      </c>
      <c r="P170" t="n">
        <v>0</v>
      </c>
      <c r="Q170" t="n">
        <v>193</v>
      </c>
      <c r="R170" t="n">
        <v>0</v>
      </c>
      <c r="S170" t="n">
        <v>0</v>
      </c>
      <c r="T170" t="n">
        <v>0</v>
      </c>
      <c r="U170" t="n">
        <v>0</v>
      </c>
      <c r="V170" t="n">
        <v>2580</v>
      </c>
      <c r="W170" t="n">
        <v>93.59999999999999</v>
      </c>
      <c r="X170" t="n">
        <v>7</v>
      </c>
      <c r="Y170" t="n">
        <v>28</v>
      </c>
      <c r="Z170" t="n">
        <v>1424</v>
      </c>
      <c r="AA170" t="n">
        <v>49</v>
      </c>
      <c r="AB170" t="n">
        <v>2492</v>
      </c>
      <c r="AC170" t="n">
        <v>92</v>
      </c>
      <c r="AD170" t="n">
        <v>4700</v>
      </c>
      <c r="AE170" t="n">
        <v>1424</v>
      </c>
      <c r="AF170" t="n">
        <v>4700</v>
      </c>
      <c r="AG170" t="n">
        <v>100</v>
      </c>
      <c r="AH170" t="n">
        <v>0</v>
      </c>
      <c r="AI170" t="n">
        <v>0</v>
      </c>
      <c r="AJ170" t="n">
        <v>0</v>
      </c>
      <c r="AK170" t="inlineStr">
        <is>
          <t>SM</t>
        </is>
      </c>
      <c r="AL170" t="inlineStr">
        <is>
          <t>None</t>
        </is>
      </c>
      <c r="AM170" t="inlineStr">
        <is>
          <t>None</t>
        </is>
      </c>
      <c r="AN170" t="inlineStr">
        <is>
          <t>Healthy</t>
        </is>
      </c>
      <c r="AO170" t="inlineStr">
        <is>
          <t>A</t>
        </is>
      </c>
      <c r="AP170" t="inlineStr"/>
      <c r="AQ170">
        <f>IF(AM170="P1",100,IF(AM170="P2",67,IF(AM170="P3",33,0)))</f>
        <v/>
      </c>
      <c r="AR170">
        <f>MIN(100,INT(IF(AI170&gt;0,AI170/Z170,AJ170/AD170)*100))</f>
        <v/>
      </c>
      <c r="AS170">
        <f>IF(AI170+AJ170=0,0,INT(100/D170))</f>
        <v/>
      </c>
      <c r="AT170">
        <f>IF(AO170="A",100,IF(AO170="B",67,33))</f>
        <v/>
      </c>
      <c r="AU170">
        <f>ROUND(0.40*AQ170+0.30*AR170+0.20*AS170+0.10*AT170,0)</f>
        <v/>
      </c>
      <c r="AV170" t="inlineStr"/>
    </row>
    <row r="171">
      <c r="A171" t="inlineStr"/>
      <c r="B171" t="inlineStr">
        <is>
          <t>2026-04-17</t>
        </is>
      </c>
      <c r="C171" t="inlineStr">
        <is>
          <t>2026-02-15</t>
        </is>
      </c>
      <c r="D171" t="n">
        <v>2</v>
      </c>
      <c r="E171" t="inlineStr">
        <is>
          <t>SKU_0003</t>
        </is>
      </c>
      <c r="F171" t="inlineStr">
        <is>
          <t>F1</t>
        </is>
      </c>
      <c r="G171" t="inlineStr">
        <is>
          <t>F1</t>
        </is>
      </c>
      <c r="H171" t="inlineStr">
        <is>
          <t>Detroit</t>
        </is>
      </c>
      <c r="I171" t="inlineStr">
        <is>
          <t>Midwest</t>
        </is>
      </c>
      <c r="J171" t="n">
        <v>42.3314</v>
      </c>
      <c r="K171" t="n">
        <v>-83.0458</v>
      </c>
      <c r="L171" t="inlineStr">
        <is>
          <t>Factory</t>
        </is>
      </c>
      <c r="M171" t="inlineStr">
        <is>
          <t>Surgical &amp; Mechanical</t>
        </is>
      </c>
      <c r="N171" t="n">
        <v>2580</v>
      </c>
      <c r="O171" t="n">
        <v>685</v>
      </c>
      <c r="P171" t="n">
        <v>0</v>
      </c>
      <c r="Q171" t="n">
        <v>685</v>
      </c>
      <c r="R171" t="n">
        <v>0</v>
      </c>
      <c r="S171" t="n">
        <v>0</v>
      </c>
      <c r="T171" t="n">
        <v>0</v>
      </c>
      <c r="U171" t="n">
        <v>0</v>
      </c>
      <c r="V171" t="n">
        <v>1895</v>
      </c>
      <c r="W171" t="n">
        <v>19.4</v>
      </c>
      <c r="X171" t="n">
        <v>7</v>
      </c>
      <c r="Y171" t="n">
        <v>28</v>
      </c>
      <c r="Z171" t="n">
        <v>1424</v>
      </c>
      <c r="AA171" t="n">
        <v>49</v>
      </c>
      <c r="AB171" t="n">
        <v>2492</v>
      </c>
      <c r="AC171" t="n">
        <v>92</v>
      </c>
      <c r="AD171" t="n">
        <v>4700</v>
      </c>
      <c r="AE171" t="n">
        <v>1424</v>
      </c>
      <c r="AF171" t="n">
        <v>4700</v>
      </c>
      <c r="AG171" t="n">
        <v>100</v>
      </c>
      <c r="AH171" t="n">
        <v>0</v>
      </c>
      <c r="AI171" t="n">
        <v>0</v>
      </c>
      <c r="AJ171" t="n">
        <v>0</v>
      </c>
      <c r="AK171" t="inlineStr">
        <is>
          <t>SM</t>
        </is>
      </c>
      <c r="AL171" t="inlineStr">
        <is>
          <t>None</t>
        </is>
      </c>
      <c r="AM171" t="inlineStr">
        <is>
          <t>None</t>
        </is>
      </c>
      <c r="AN171" t="inlineStr">
        <is>
          <t>Healthy</t>
        </is>
      </c>
      <c r="AO171" t="inlineStr">
        <is>
          <t>A</t>
        </is>
      </c>
      <c r="AP171" t="inlineStr"/>
      <c r="AQ171">
        <f>IF(AM171="P1",100,IF(AM171="P2",67,IF(AM171="P3",33,0)))</f>
        <v/>
      </c>
      <c r="AR171">
        <f>MIN(100,INT(IF(AI171&gt;0,AI171/Z171,AJ171/AD171)*100))</f>
        <v/>
      </c>
      <c r="AS171">
        <f>IF(AI171+AJ171=0,0,INT(100/D171))</f>
        <v/>
      </c>
      <c r="AT171">
        <f>IF(AO171="A",100,IF(AO171="B",67,33))</f>
        <v/>
      </c>
      <c r="AU171">
        <f>ROUND(0.40*AQ171+0.30*AR171+0.20*AS171+0.10*AT171,0)</f>
        <v/>
      </c>
      <c r="AV171" t="inlineStr"/>
    </row>
    <row r="172">
      <c r="A172" t="inlineStr"/>
      <c r="B172" t="inlineStr">
        <is>
          <t>2026-04-17</t>
        </is>
      </c>
      <c r="C172" t="inlineStr">
        <is>
          <t>2026-02-22</t>
        </is>
      </c>
      <c r="D172" t="n">
        <v>3</v>
      </c>
      <c r="E172" t="inlineStr">
        <is>
          <t>SKU_0003</t>
        </is>
      </c>
      <c r="F172" t="inlineStr">
        <is>
          <t>F1</t>
        </is>
      </c>
      <c r="G172" t="inlineStr">
        <is>
          <t>F1</t>
        </is>
      </c>
      <c r="H172" t="inlineStr">
        <is>
          <t>Detroit</t>
        </is>
      </c>
      <c r="I172" t="inlineStr">
        <is>
          <t>Midwest</t>
        </is>
      </c>
      <c r="J172" t="n">
        <v>42.3314</v>
      </c>
      <c r="K172" t="n">
        <v>-83.0458</v>
      </c>
      <c r="L172" t="inlineStr">
        <is>
          <t>Factory</t>
        </is>
      </c>
      <c r="M172" t="inlineStr">
        <is>
          <t>Surgical &amp; Mechanical</t>
        </is>
      </c>
      <c r="N172" t="n">
        <v>1895</v>
      </c>
      <c r="O172" t="n">
        <v>199</v>
      </c>
      <c r="P172" t="n">
        <v>0</v>
      </c>
      <c r="Q172" t="n">
        <v>199</v>
      </c>
      <c r="R172" t="n">
        <v>523</v>
      </c>
      <c r="S172" t="n">
        <v>0</v>
      </c>
      <c r="T172" t="n">
        <v>523</v>
      </c>
      <c r="U172" t="n">
        <v>0</v>
      </c>
      <c r="V172" t="n">
        <v>2219</v>
      </c>
      <c r="W172" t="n">
        <v>78.09999999999999</v>
      </c>
      <c r="X172" t="n">
        <v>7</v>
      </c>
      <c r="Y172" t="n">
        <v>28</v>
      </c>
      <c r="Z172" t="n">
        <v>1424</v>
      </c>
      <c r="AA172" t="n">
        <v>49</v>
      </c>
      <c r="AB172" t="n">
        <v>2492</v>
      </c>
      <c r="AC172" t="n">
        <v>92</v>
      </c>
      <c r="AD172" t="n">
        <v>4700</v>
      </c>
      <c r="AE172" t="n">
        <v>1424</v>
      </c>
      <c r="AF172" t="n">
        <v>4700</v>
      </c>
      <c r="AG172" t="n">
        <v>100</v>
      </c>
      <c r="AH172" t="n">
        <v>0</v>
      </c>
      <c r="AI172" t="n">
        <v>0</v>
      </c>
      <c r="AJ172" t="n">
        <v>0</v>
      </c>
      <c r="AK172" t="inlineStr">
        <is>
          <t>SM</t>
        </is>
      </c>
      <c r="AL172" t="inlineStr">
        <is>
          <t>None</t>
        </is>
      </c>
      <c r="AM172" t="inlineStr">
        <is>
          <t>None</t>
        </is>
      </c>
      <c r="AN172" t="inlineStr">
        <is>
          <t>Healthy</t>
        </is>
      </c>
      <c r="AO172" t="inlineStr">
        <is>
          <t>A</t>
        </is>
      </c>
      <c r="AP172" t="inlineStr"/>
      <c r="AQ172">
        <f>IF(AM172="P1",100,IF(AM172="P2",67,IF(AM172="P3",33,0)))</f>
        <v/>
      </c>
      <c r="AR172">
        <f>MIN(100,INT(IF(AI172&gt;0,AI172/Z172,AJ172/AD172)*100))</f>
        <v/>
      </c>
      <c r="AS172">
        <f>IF(AI172+AJ172=0,0,INT(100/D172))</f>
        <v/>
      </c>
      <c r="AT172">
        <f>IF(AO172="A",100,IF(AO172="B",67,33))</f>
        <v/>
      </c>
      <c r="AU172">
        <f>ROUND(0.40*AQ172+0.30*AR172+0.20*AS172+0.10*AT172,0)</f>
        <v/>
      </c>
      <c r="AV172" t="inlineStr"/>
    </row>
    <row r="173">
      <c r="A173" t="inlineStr"/>
      <c r="B173" t="inlineStr">
        <is>
          <t>2026-04-17</t>
        </is>
      </c>
      <c r="C173" t="inlineStr">
        <is>
          <t>2026-03-01</t>
        </is>
      </c>
      <c r="D173" t="n">
        <v>4</v>
      </c>
      <c r="E173" t="inlineStr">
        <is>
          <t>SKU_0003</t>
        </is>
      </c>
      <c r="F173" t="inlineStr">
        <is>
          <t>F1</t>
        </is>
      </c>
      <c r="G173" t="inlineStr">
        <is>
          <t>F1</t>
        </is>
      </c>
      <c r="H173" t="inlineStr">
        <is>
          <t>Detroit</t>
        </is>
      </c>
      <c r="I173" t="inlineStr">
        <is>
          <t>Midwest</t>
        </is>
      </c>
      <c r="J173" t="n">
        <v>42.3314</v>
      </c>
      <c r="K173" t="n">
        <v>-83.0458</v>
      </c>
      <c r="L173" t="inlineStr">
        <is>
          <t>Factory</t>
        </is>
      </c>
      <c r="M173" t="inlineStr">
        <is>
          <t>Surgical &amp; Mechanical</t>
        </is>
      </c>
      <c r="N173" t="n">
        <v>2219</v>
      </c>
      <c r="O173" t="n">
        <v>691</v>
      </c>
      <c r="P173" t="n">
        <v>0</v>
      </c>
      <c r="Q173" t="n">
        <v>691</v>
      </c>
      <c r="R173" t="n">
        <v>0</v>
      </c>
      <c r="S173" t="n">
        <v>0</v>
      </c>
      <c r="T173" t="n">
        <v>0</v>
      </c>
      <c r="U173" t="n">
        <v>0</v>
      </c>
      <c r="V173" t="n">
        <v>1528</v>
      </c>
      <c r="W173" t="n">
        <v>15.5</v>
      </c>
      <c r="X173" t="n">
        <v>7</v>
      </c>
      <c r="Y173" t="n">
        <v>28</v>
      </c>
      <c r="Z173" t="n">
        <v>1424</v>
      </c>
      <c r="AA173" t="n">
        <v>49</v>
      </c>
      <c r="AB173" t="n">
        <v>2492</v>
      </c>
      <c r="AC173" t="n">
        <v>92</v>
      </c>
      <c r="AD173" t="n">
        <v>4700</v>
      </c>
      <c r="AE173" t="n">
        <v>1424</v>
      </c>
      <c r="AF173" t="n">
        <v>4700</v>
      </c>
      <c r="AG173" t="n">
        <v>100</v>
      </c>
      <c r="AH173" t="n">
        <v>0</v>
      </c>
      <c r="AI173" t="n">
        <v>0</v>
      </c>
      <c r="AJ173" t="n">
        <v>0</v>
      </c>
      <c r="AK173" t="inlineStr">
        <is>
          <t>SM</t>
        </is>
      </c>
      <c r="AL173" t="inlineStr">
        <is>
          <t>None</t>
        </is>
      </c>
      <c r="AM173" t="inlineStr">
        <is>
          <t>None</t>
        </is>
      </c>
      <c r="AN173" t="inlineStr">
        <is>
          <t>Healthy</t>
        </is>
      </c>
      <c r="AO173" t="inlineStr">
        <is>
          <t>A</t>
        </is>
      </c>
      <c r="AP173" t="inlineStr"/>
      <c r="AQ173">
        <f>IF(AM173="P1",100,IF(AM173="P2",67,IF(AM173="P3",33,0)))</f>
        <v/>
      </c>
      <c r="AR173">
        <f>MIN(100,INT(IF(AI173&gt;0,AI173/Z173,AJ173/AD173)*100))</f>
        <v/>
      </c>
      <c r="AS173">
        <f>IF(AI173+AJ173=0,0,INT(100/D173))</f>
        <v/>
      </c>
      <c r="AT173">
        <f>IF(AO173="A",100,IF(AO173="B",67,33))</f>
        <v/>
      </c>
      <c r="AU173">
        <f>ROUND(0.40*AQ173+0.30*AR173+0.20*AS173+0.10*AT173,0)</f>
        <v/>
      </c>
      <c r="AV173" t="inlineStr"/>
    </row>
    <row r="174">
      <c r="A174" t="inlineStr"/>
      <c r="B174" t="inlineStr">
        <is>
          <t>2026-04-17</t>
        </is>
      </c>
      <c r="C174" t="inlineStr">
        <is>
          <t>2026-03-08</t>
        </is>
      </c>
      <c r="D174" t="n">
        <v>5</v>
      </c>
      <c r="E174" t="inlineStr">
        <is>
          <t>SKU_0003</t>
        </is>
      </c>
      <c r="F174" t="inlineStr">
        <is>
          <t>F1</t>
        </is>
      </c>
      <c r="G174" t="inlineStr">
        <is>
          <t>F1</t>
        </is>
      </c>
      <c r="H174" t="inlineStr">
        <is>
          <t>Detroit</t>
        </is>
      </c>
      <c r="I174" t="inlineStr">
        <is>
          <t>Midwest</t>
        </is>
      </c>
      <c r="J174" t="n">
        <v>42.3314</v>
      </c>
      <c r="K174" t="n">
        <v>-83.0458</v>
      </c>
      <c r="L174" t="inlineStr">
        <is>
          <t>Factory</t>
        </is>
      </c>
      <c r="M174" t="inlineStr">
        <is>
          <t>Surgical &amp; Mechanical</t>
        </is>
      </c>
      <c r="N174" t="n">
        <v>1528</v>
      </c>
      <c r="O174" t="n">
        <v>606</v>
      </c>
      <c r="P174" t="n">
        <v>0</v>
      </c>
      <c r="Q174" t="n">
        <v>606</v>
      </c>
      <c r="R174" t="n">
        <v>0</v>
      </c>
      <c r="S174" t="n">
        <v>1130</v>
      </c>
      <c r="T174" t="n">
        <v>1130</v>
      </c>
      <c r="U174" t="n">
        <v>0</v>
      </c>
      <c r="V174" t="n">
        <v>2052</v>
      </c>
      <c r="W174" t="n">
        <v>23.7</v>
      </c>
      <c r="X174" t="n">
        <v>7</v>
      </c>
      <c r="Y174" t="n">
        <v>28</v>
      </c>
      <c r="Z174" t="n">
        <v>1424</v>
      </c>
      <c r="AA174" t="n">
        <v>49</v>
      </c>
      <c r="AB174" t="n">
        <v>2492</v>
      </c>
      <c r="AC174" t="n">
        <v>92</v>
      </c>
      <c r="AD174" t="n">
        <v>4700</v>
      </c>
      <c r="AE174" t="n">
        <v>1424</v>
      </c>
      <c r="AF174" t="n">
        <v>4700</v>
      </c>
      <c r="AG174" t="n">
        <v>100</v>
      </c>
      <c r="AH174" t="n">
        <v>0</v>
      </c>
      <c r="AI174" t="n">
        <v>0</v>
      </c>
      <c r="AJ174" t="n">
        <v>0</v>
      </c>
      <c r="AK174" t="inlineStr">
        <is>
          <t>SM</t>
        </is>
      </c>
      <c r="AL174" t="inlineStr">
        <is>
          <t>None</t>
        </is>
      </c>
      <c r="AM174" t="inlineStr">
        <is>
          <t>None</t>
        </is>
      </c>
      <c r="AN174" t="inlineStr">
        <is>
          <t>Healthy</t>
        </is>
      </c>
      <c r="AO174" t="inlineStr">
        <is>
          <t>A</t>
        </is>
      </c>
      <c r="AP174" t="inlineStr"/>
      <c r="AQ174">
        <f>IF(AM174="P1",100,IF(AM174="P2",67,IF(AM174="P3",33,0)))</f>
        <v/>
      </c>
      <c r="AR174">
        <f>MIN(100,INT(IF(AI174&gt;0,AI174/Z174,AJ174/AD174)*100))</f>
        <v/>
      </c>
      <c r="AS174">
        <f>IF(AI174+AJ174=0,0,INT(100/D174))</f>
        <v/>
      </c>
      <c r="AT174">
        <f>IF(AO174="A",100,IF(AO174="B",67,33))</f>
        <v/>
      </c>
      <c r="AU174">
        <f>ROUND(0.40*AQ174+0.30*AR174+0.20*AS174+0.10*AT174,0)</f>
        <v/>
      </c>
      <c r="AV174" t="inlineStr"/>
    </row>
    <row r="175">
      <c r="A175" t="inlineStr">
        <is>
          <t>BD-24536581-00086</t>
        </is>
      </c>
      <c r="B175" t="inlineStr">
        <is>
          <t>2026-04-17</t>
        </is>
      </c>
      <c r="C175" t="inlineStr">
        <is>
          <t>2026-03-15</t>
        </is>
      </c>
      <c r="D175" t="n">
        <v>6</v>
      </c>
      <c r="E175" t="inlineStr">
        <is>
          <t>SKU_0003</t>
        </is>
      </c>
      <c r="F175" t="inlineStr">
        <is>
          <t>F1</t>
        </is>
      </c>
      <c r="G175" t="inlineStr">
        <is>
          <t>F1</t>
        </is>
      </c>
      <c r="H175" t="inlineStr">
        <is>
          <t>Detroit</t>
        </is>
      </c>
      <c r="I175" t="inlineStr">
        <is>
          <t>Midwest</t>
        </is>
      </c>
      <c r="J175" t="n">
        <v>42.3314</v>
      </c>
      <c r="K175" t="n">
        <v>-83.0458</v>
      </c>
      <c r="L175" t="inlineStr">
        <is>
          <t>Factory</t>
        </is>
      </c>
      <c r="M175" t="inlineStr">
        <is>
          <t>Surgical &amp; Mechanical</t>
        </is>
      </c>
      <c r="N175" t="n">
        <v>2052</v>
      </c>
      <c r="O175" t="n">
        <v>1146</v>
      </c>
      <c r="P175" t="n">
        <v>0</v>
      </c>
      <c r="Q175" t="n">
        <v>1146</v>
      </c>
      <c r="R175" t="n">
        <v>0</v>
      </c>
      <c r="S175" t="n">
        <v>0</v>
      </c>
      <c r="T175" t="n">
        <v>0</v>
      </c>
      <c r="U175" t="n">
        <v>0</v>
      </c>
      <c r="V175" t="n">
        <v>906</v>
      </c>
      <c r="W175" t="n">
        <v>5.5</v>
      </c>
      <c r="X175" t="n">
        <v>7</v>
      </c>
      <c r="Y175" t="n">
        <v>28</v>
      </c>
      <c r="Z175" t="n">
        <v>1424</v>
      </c>
      <c r="AA175" t="n">
        <v>49</v>
      </c>
      <c r="AB175" t="n">
        <v>2492</v>
      </c>
      <c r="AC175" t="n">
        <v>92</v>
      </c>
      <c r="AD175" t="n">
        <v>4700</v>
      </c>
      <c r="AE175" t="n">
        <v>1424</v>
      </c>
      <c r="AF175" t="n">
        <v>4700</v>
      </c>
      <c r="AG175" t="n">
        <v>63</v>
      </c>
      <c r="AH175" t="n">
        <v>0</v>
      </c>
      <c r="AI175" t="n">
        <v>518</v>
      </c>
      <c r="AJ175" t="n">
        <v>0</v>
      </c>
      <c r="AK175" t="inlineStr">
        <is>
          <t>SM</t>
        </is>
      </c>
      <c r="AL175" t="inlineStr">
        <is>
          <t>High MSTN</t>
        </is>
      </c>
      <c r="AM175" t="inlineStr">
        <is>
          <t>P1</t>
        </is>
      </c>
      <c r="AN175" t="inlineStr">
        <is>
          <t>Critical Stockout</t>
        </is>
      </c>
      <c r="AO175" t="inlineStr">
        <is>
          <t>A</t>
        </is>
      </c>
      <c r="AP175" t="inlineStr"/>
      <c r="AQ175">
        <f>IF(AM175="P1",100,IF(AM175="P2",67,IF(AM175="P3",33,0)))</f>
        <v/>
      </c>
      <c r="AR175">
        <f>MIN(100,INT(IF(AI175&gt;0,AI175/Z175,AJ175/AD175)*100))</f>
        <v/>
      </c>
      <c r="AS175">
        <f>IF(AI175+AJ175=0,0,INT(100/D175))</f>
        <v/>
      </c>
      <c r="AT175">
        <f>IF(AO175="A",100,IF(AO175="B",67,33))</f>
        <v/>
      </c>
      <c r="AU175">
        <f>ROUND(0.40*AQ175+0.30*AR175+0.20*AS175+0.10*AT175,0)</f>
        <v/>
      </c>
      <c r="AV175" t="inlineStr">
        <is>
          <t>Opening inventory of 2052 and supply of 0 are sufficient to cover the demand of 1146. However, the projected closing inventory of 906 falls 518 units below the target safety stock requirement of 1424, compromising the critical service level buffer.</t>
        </is>
      </c>
    </row>
    <row r="176">
      <c r="A176" t="inlineStr">
        <is>
          <t>BD-24536581-00087</t>
        </is>
      </c>
      <c r="B176" t="inlineStr">
        <is>
          <t>2026-04-17</t>
        </is>
      </c>
      <c r="C176" t="inlineStr">
        <is>
          <t>2026-03-22</t>
        </is>
      </c>
      <c r="D176" t="n">
        <v>7</v>
      </c>
      <c r="E176" t="inlineStr">
        <is>
          <t>SKU_0003</t>
        </is>
      </c>
      <c r="F176" t="inlineStr">
        <is>
          <t>F1</t>
        </is>
      </c>
      <c r="G176" t="inlineStr">
        <is>
          <t>F1</t>
        </is>
      </c>
      <c r="H176" t="inlineStr">
        <is>
          <t>Detroit</t>
        </is>
      </c>
      <c r="I176" t="inlineStr">
        <is>
          <t>Midwest</t>
        </is>
      </c>
      <c r="J176" t="n">
        <v>42.3314</v>
      </c>
      <c r="K176" t="n">
        <v>-83.0458</v>
      </c>
      <c r="L176" t="inlineStr">
        <is>
          <t>Factory</t>
        </is>
      </c>
      <c r="M176" t="inlineStr">
        <is>
          <t>Surgical &amp; Mechanical</t>
        </is>
      </c>
      <c r="N176" t="n">
        <v>906</v>
      </c>
      <c r="O176" t="n">
        <v>326</v>
      </c>
      <c r="P176" t="n">
        <v>0</v>
      </c>
      <c r="Q176" t="n">
        <v>326</v>
      </c>
      <c r="R176" t="n">
        <v>0</v>
      </c>
      <c r="S176" t="n">
        <v>0</v>
      </c>
      <c r="T176" t="n">
        <v>0</v>
      </c>
      <c r="U176" t="n">
        <v>0</v>
      </c>
      <c r="V176" t="n">
        <v>580</v>
      </c>
      <c r="W176" t="n">
        <v>12.5</v>
      </c>
      <c r="X176" t="n">
        <v>7</v>
      </c>
      <c r="Y176" t="n">
        <v>28</v>
      </c>
      <c r="Z176" t="n">
        <v>1424</v>
      </c>
      <c r="AA176" t="n">
        <v>49</v>
      </c>
      <c r="AB176" t="n">
        <v>2492</v>
      </c>
      <c r="AC176" t="n">
        <v>92</v>
      </c>
      <c r="AD176" t="n">
        <v>4700</v>
      </c>
      <c r="AE176" t="n">
        <v>1424</v>
      </c>
      <c r="AF176" t="n">
        <v>4700</v>
      </c>
      <c r="AG176" t="n">
        <v>40</v>
      </c>
      <c r="AH176" t="n">
        <v>0</v>
      </c>
      <c r="AI176" t="n">
        <v>844</v>
      </c>
      <c r="AJ176" t="n">
        <v>0</v>
      </c>
      <c r="AK176" t="inlineStr">
        <is>
          <t>SM</t>
        </is>
      </c>
      <c r="AL176" t="inlineStr">
        <is>
          <t>High MSTN</t>
        </is>
      </c>
      <c r="AM176" t="inlineStr">
        <is>
          <t>P1</t>
        </is>
      </c>
      <c r="AN176" t="inlineStr">
        <is>
          <t>Critical Stockout</t>
        </is>
      </c>
      <c r="AO176" t="inlineStr">
        <is>
          <t>A</t>
        </is>
      </c>
      <c r="AP176" t="inlineStr"/>
      <c r="AQ176">
        <f>IF(AM176="P1",100,IF(AM176="P2",67,IF(AM176="P3",33,0)))</f>
        <v/>
      </c>
      <c r="AR176">
        <f>MIN(100,INT(IF(AI176&gt;0,AI176/Z176,AJ176/AD176)*100))</f>
        <v/>
      </c>
      <c r="AS176">
        <f>IF(AI176+AJ176=0,0,INT(100/D176))</f>
        <v/>
      </c>
      <c r="AT176">
        <f>IF(AO176="A",100,IF(AO176="B",67,33))</f>
        <v/>
      </c>
      <c r="AU176">
        <f>ROUND(0.40*AQ176+0.30*AR176+0.20*AS176+0.10*AT176,0)</f>
        <v/>
      </c>
      <c r="AV176" t="inlineStr">
        <is>
          <t>Opening inventory of 906 and supply of 0 are sufficient to cover the demand of 326. However, the projected closing inventory of 580 falls 844 units below the target safety stock requirement of 1424, compromising the critical service level buffer.</t>
        </is>
      </c>
    </row>
    <row r="177">
      <c r="A177" t="inlineStr">
        <is>
          <t>BD-24536581-00088</t>
        </is>
      </c>
      <c r="B177" t="inlineStr">
        <is>
          <t>2026-04-17</t>
        </is>
      </c>
      <c r="C177" t="inlineStr">
        <is>
          <t>2026-03-29</t>
        </is>
      </c>
      <c r="D177" t="n">
        <v>8</v>
      </c>
      <c r="E177" t="inlineStr">
        <is>
          <t>SKU_0003</t>
        </is>
      </c>
      <c r="F177" t="inlineStr">
        <is>
          <t>F1</t>
        </is>
      </c>
      <c r="G177" t="inlineStr">
        <is>
          <t>F1</t>
        </is>
      </c>
      <c r="H177" t="inlineStr">
        <is>
          <t>Detroit</t>
        </is>
      </c>
      <c r="I177" t="inlineStr">
        <is>
          <t>Midwest</t>
        </is>
      </c>
      <c r="J177" t="n">
        <v>42.3314</v>
      </c>
      <c r="K177" t="n">
        <v>-83.0458</v>
      </c>
      <c r="L177" t="inlineStr">
        <is>
          <t>Factory</t>
        </is>
      </c>
      <c r="M177" t="inlineStr">
        <is>
          <t>Surgical &amp; Mechanical</t>
        </is>
      </c>
      <c r="N177" t="n">
        <v>580</v>
      </c>
      <c r="O177" t="n">
        <v>1278</v>
      </c>
      <c r="P177" t="n">
        <v>0</v>
      </c>
      <c r="Q177" t="n">
        <v>1278</v>
      </c>
      <c r="R177" t="n">
        <v>0</v>
      </c>
      <c r="S177" t="n">
        <v>0</v>
      </c>
      <c r="T177" t="n">
        <v>0</v>
      </c>
      <c r="U177" t="n">
        <v>698</v>
      </c>
      <c r="V177" t="n">
        <v>0</v>
      </c>
      <c r="W177" t="n">
        <v>0</v>
      </c>
      <c r="X177" t="n">
        <v>7</v>
      </c>
      <c r="Y177" t="n">
        <v>28</v>
      </c>
      <c r="Z177" t="n">
        <v>1424</v>
      </c>
      <c r="AA177" t="n">
        <v>49</v>
      </c>
      <c r="AB177" t="n">
        <v>2492</v>
      </c>
      <c r="AC177" t="n">
        <v>92</v>
      </c>
      <c r="AD177" t="n">
        <v>4700</v>
      </c>
      <c r="AE177" t="n">
        <v>1424</v>
      </c>
      <c r="AF177" t="n">
        <v>4700</v>
      </c>
      <c r="AG177" t="n">
        <v>0</v>
      </c>
      <c r="AH177" t="n">
        <v>0</v>
      </c>
      <c r="AI177" t="n">
        <v>2122</v>
      </c>
      <c r="AJ177" t="n">
        <v>0</v>
      </c>
      <c r="AK177" t="inlineStr">
        <is>
          <t>SM</t>
        </is>
      </c>
      <c r="AL177" t="inlineStr">
        <is>
          <t>Critical MSTN</t>
        </is>
      </c>
      <c r="AM177" t="inlineStr">
        <is>
          <t>P1</t>
        </is>
      </c>
      <c r="AN177" t="inlineStr">
        <is>
          <t>Critical Stockout</t>
        </is>
      </c>
      <c r="AO177" t="inlineStr">
        <is>
          <t>A</t>
        </is>
      </c>
      <c r="AP177" t="inlineStr"/>
      <c r="AQ177">
        <f>IF(AM177="P1",100,IF(AM177="P2",67,IF(AM177="P3",33,0)))</f>
        <v/>
      </c>
      <c r="AR177">
        <f>MIN(100,INT(IF(AI177&gt;0,AI177/Z177,AJ177/AD177)*100))</f>
        <v/>
      </c>
      <c r="AS177">
        <f>IF(AI177+AJ177=0,0,INT(100/D177))</f>
        <v/>
      </c>
      <c r="AT177">
        <f>IF(AO177="A",100,IF(AO177="B",67,33))</f>
        <v/>
      </c>
      <c r="AU177">
        <f>ROUND(0.40*AQ177+0.30*AR177+0.20*AS177+0.10*AT177,0)</f>
        <v/>
      </c>
      <c r="AV177" t="inlineStr">
        <is>
          <t>Opening inventory of 580 and supply of 0 are insufficient to cover the demand of 1278, leading to a projected stockout of 698 units and a breach of the 1424 unit safety stock target by 2122 units.</t>
        </is>
      </c>
    </row>
    <row r="178">
      <c r="A178" t="inlineStr"/>
      <c r="B178" t="inlineStr">
        <is>
          <t>2026-04-17</t>
        </is>
      </c>
      <c r="C178" t="inlineStr">
        <is>
          <t>2026-04-05</t>
        </is>
      </c>
      <c r="D178" t="n">
        <v>9</v>
      </c>
      <c r="E178" t="inlineStr">
        <is>
          <t>SKU_0003</t>
        </is>
      </c>
      <c r="F178" t="inlineStr">
        <is>
          <t>F1</t>
        </is>
      </c>
      <c r="G178" t="inlineStr">
        <is>
          <t>F1</t>
        </is>
      </c>
      <c r="H178" t="inlineStr">
        <is>
          <t>Detroit</t>
        </is>
      </c>
      <c r="I178" t="inlineStr">
        <is>
          <t>Midwest</t>
        </is>
      </c>
      <c r="J178" t="n">
        <v>42.3314</v>
      </c>
      <c r="K178" t="n">
        <v>-83.0458</v>
      </c>
      <c r="L178" t="inlineStr">
        <is>
          <t>Factory</t>
        </is>
      </c>
      <c r="M178" t="inlineStr">
        <is>
          <t>Surgical &amp; Mechanical</t>
        </is>
      </c>
      <c r="N178" t="n">
        <v>0</v>
      </c>
      <c r="O178" t="n">
        <v>148</v>
      </c>
      <c r="P178" t="n">
        <v>698</v>
      </c>
      <c r="Q178" t="n">
        <v>846</v>
      </c>
      <c r="R178" t="n">
        <v>0</v>
      </c>
      <c r="S178" t="n">
        <v>2958</v>
      </c>
      <c r="T178" t="n">
        <v>2958</v>
      </c>
      <c r="U178" t="n">
        <v>0</v>
      </c>
      <c r="V178" t="n">
        <v>2112</v>
      </c>
      <c r="W178" t="n">
        <v>99.90000000000001</v>
      </c>
      <c r="X178" t="n">
        <v>7</v>
      </c>
      <c r="Y178" t="n">
        <v>28</v>
      </c>
      <c r="Z178" t="n">
        <v>1424</v>
      </c>
      <c r="AA178" t="n">
        <v>49</v>
      </c>
      <c r="AB178" t="n">
        <v>2492</v>
      </c>
      <c r="AC178" t="n">
        <v>92</v>
      </c>
      <c r="AD178" t="n">
        <v>4700</v>
      </c>
      <c r="AE178" t="n">
        <v>1424</v>
      </c>
      <c r="AF178" t="n">
        <v>4700</v>
      </c>
      <c r="AG178" t="n">
        <v>100</v>
      </c>
      <c r="AH178" t="n">
        <v>0</v>
      </c>
      <c r="AI178" t="n">
        <v>0</v>
      </c>
      <c r="AJ178" t="n">
        <v>0</v>
      </c>
      <c r="AK178" t="inlineStr">
        <is>
          <t>SM</t>
        </is>
      </c>
      <c r="AL178" t="inlineStr">
        <is>
          <t>None</t>
        </is>
      </c>
      <c r="AM178" t="inlineStr">
        <is>
          <t>None</t>
        </is>
      </c>
      <c r="AN178" t="inlineStr">
        <is>
          <t>Healthy</t>
        </is>
      </c>
      <c r="AO178" t="inlineStr">
        <is>
          <t>A</t>
        </is>
      </c>
      <c r="AP178" t="inlineStr"/>
      <c r="AQ178">
        <f>IF(AM178="P1",100,IF(AM178="P2",67,IF(AM178="P3",33,0)))</f>
        <v/>
      </c>
      <c r="AR178">
        <f>MIN(100,INT(IF(AI178&gt;0,AI178/Z178,AJ178/AD178)*100))</f>
        <v/>
      </c>
      <c r="AS178">
        <f>IF(AI178+AJ178=0,0,INT(100/D178))</f>
        <v/>
      </c>
      <c r="AT178">
        <f>IF(AO178="A",100,IF(AO178="B",67,33))</f>
        <v/>
      </c>
      <c r="AU178">
        <f>ROUND(0.40*AQ178+0.30*AR178+0.20*AS178+0.10*AT178,0)</f>
        <v/>
      </c>
      <c r="AV178" t="inlineStr"/>
    </row>
    <row r="179">
      <c r="A179" t="inlineStr"/>
      <c r="B179" t="inlineStr">
        <is>
          <t>2026-04-17</t>
        </is>
      </c>
      <c r="C179" t="inlineStr">
        <is>
          <t>2026-04-12</t>
        </is>
      </c>
      <c r="D179" t="n">
        <v>10</v>
      </c>
      <c r="E179" t="inlineStr">
        <is>
          <t>SKU_0003</t>
        </is>
      </c>
      <c r="F179" t="inlineStr">
        <is>
          <t>F1</t>
        </is>
      </c>
      <c r="G179" t="inlineStr">
        <is>
          <t>F1</t>
        </is>
      </c>
      <c r="H179" t="inlineStr">
        <is>
          <t>Detroit</t>
        </is>
      </c>
      <c r="I179" t="inlineStr">
        <is>
          <t>Midwest</t>
        </is>
      </c>
      <c r="J179" t="n">
        <v>42.3314</v>
      </c>
      <c r="K179" t="n">
        <v>-83.0458</v>
      </c>
      <c r="L179" t="inlineStr">
        <is>
          <t>Factory</t>
        </is>
      </c>
      <c r="M179" t="inlineStr">
        <is>
          <t>Surgical &amp; Mechanical</t>
        </is>
      </c>
      <c r="N179" t="n">
        <v>2112</v>
      </c>
      <c r="O179" t="n">
        <v>469</v>
      </c>
      <c r="P179" t="n">
        <v>0</v>
      </c>
      <c r="Q179" t="n">
        <v>469</v>
      </c>
      <c r="R179" t="n">
        <v>0</v>
      </c>
      <c r="S179" t="n">
        <v>990</v>
      </c>
      <c r="T179" t="n">
        <v>990</v>
      </c>
      <c r="U179" t="n">
        <v>0</v>
      </c>
      <c r="V179" t="n">
        <v>2633</v>
      </c>
      <c r="W179" t="n">
        <v>39.3</v>
      </c>
      <c r="X179" t="n">
        <v>7</v>
      </c>
      <c r="Y179" t="n">
        <v>28</v>
      </c>
      <c r="Z179" t="n">
        <v>1424</v>
      </c>
      <c r="AA179" t="n">
        <v>49</v>
      </c>
      <c r="AB179" t="n">
        <v>2492</v>
      </c>
      <c r="AC179" t="n">
        <v>92</v>
      </c>
      <c r="AD179" t="n">
        <v>4700</v>
      </c>
      <c r="AE179" t="n">
        <v>1424</v>
      </c>
      <c r="AF179" t="n">
        <v>4700</v>
      </c>
      <c r="AG179" t="n">
        <v>100</v>
      </c>
      <c r="AH179" t="n">
        <v>0</v>
      </c>
      <c r="AI179" t="n">
        <v>0</v>
      </c>
      <c r="AJ179" t="n">
        <v>0</v>
      </c>
      <c r="AK179" t="inlineStr">
        <is>
          <t>SM</t>
        </is>
      </c>
      <c r="AL179" t="inlineStr">
        <is>
          <t>None</t>
        </is>
      </c>
      <c r="AM179" t="inlineStr">
        <is>
          <t>None</t>
        </is>
      </c>
      <c r="AN179" t="inlineStr">
        <is>
          <t>Healthy</t>
        </is>
      </c>
      <c r="AO179" t="inlineStr">
        <is>
          <t>A</t>
        </is>
      </c>
      <c r="AP179" t="inlineStr"/>
      <c r="AQ179">
        <f>IF(AM179="P1",100,IF(AM179="P2",67,IF(AM179="P3",33,0)))</f>
        <v/>
      </c>
      <c r="AR179">
        <f>MIN(100,INT(IF(AI179&gt;0,AI179/Z179,AJ179/AD179)*100))</f>
        <v/>
      </c>
      <c r="AS179">
        <f>IF(AI179+AJ179=0,0,INT(100/D179))</f>
        <v/>
      </c>
      <c r="AT179">
        <f>IF(AO179="A",100,IF(AO179="B",67,33))</f>
        <v/>
      </c>
      <c r="AU179">
        <f>ROUND(0.40*AQ179+0.30*AR179+0.20*AS179+0.10*AT179,0)</f>
        <v/>
      </c>
      <c r="AV179" t="inlineStr"/>
    </row>
    <row r="180">
      <c r="A180" t="inlineStr"/>
      <c r="B180" t="inlineStr">
        <is>
          <t>2026-04-17</t>
        </is>
      </c>
      <c r="C180" t="inlineStr">
        <is>
          <t>2026-04-19</t>
        </is>
      </c>
      <c r="D180" t="n">
        <v>11</v>
      </c>
      <c r="E180" t="inlineStr">
        <is>
          <t>SKU_0003</t>
        </is>
      </c>
      <c r="F180" t="inlineStr">
        <is>
          <t>F1</t>
        </is>
      </c>
      <c r="G180" t="inlineStr">
        <is>
          <t>F1</t>
        </is>
      </c>
      <c r="H180" t="inlineStr">
        <is>
          <t>Detroit</t>
        </is>
      </c>
      <c r="I180" t="inlineStr">
        <is>
          <t>Midwest</t>
        </is>
      </c>
      <c r="J180" t="n">
        <v>42.3314</v>
      </c>
      <c r="K180" t="n">
        <v>-83.0458</v>
      </c>
      <c r="L180" t="inlineStr">
        <is>
          <t>Factory</t>
        </is>
      </c>
      <c r="M180" t="inlineStr">
        <is>
          <t>Surgical &amp; Mechanical</t>
        </is>
      </c>
      <c r="N180" t="n">
        <v>2633</v>
      </c>
      <c r="O180" t="n">
        <v>0</v>
      </c>
      <c r="P180" t="n">
        <v>0</v>
      </c>
      <c r="Q180" t="n">
        <v>0</v>
      </c>
      <c r="R180" t="n">
        <v>0</v>
      </c>
      <c r="S180" t="n">
        <v>2230</v>
      </c>
      <c r="T180" t="n">
        <v>2230</v>
      </c>
      <c r="U180" t="n">
        <v>0</v>
      </c>
      <c r="V180" t="n">
        <v>4863</v>
      </c>
      <c r="W180" t="n">
        <v>0</v>
      </c>
      <c r="X180" t="n">
        <v>7</v>
      </c>
      <c r="Y180" t="n">
        <v>28</v>
      </c>
      <c r="Z180" t="n">
        <v>1424</v>
      </c>
      <c r="AA180" t="n">
        <v>49</v>
      </c>
      <c r="AB180" t="n">
        <v>2492</v>
      </c>
      <c r="AC180" t="n">
        <v>92</v>
      </c>
      <c r="AD180" t="n">
        <v>4700</v>
      </c>
      <c r="AE180" t="n">
        <v>1424</v>
      </c>
      <c r="AF180" t="n">
        <v>4700</v>
      </c>
      <c r="AG180" t="n">
        <v>100</v>
      </c>
      <c r="AH180" t="n">
        <v>3</v>
      </c>
      <c r="AI180" t="n">
        <v>0</v>
      </c>
      <c r="AJ180" t="n">
        <v>163</v>
      </c>
      <c r="AK180" t="inlineStr">
        <is>
          <t>SM</t>
        </is>
      </c>
      <c r="AL180" t="inlineStr">
        <is>
          <t>None</t>
        </is>
      </c>
      <c r="AM180" t="inlineStr">
        <is>
          <t>None</t>
        </is>
      </c>
      <c r="AN180" t="inlineStr">
        <is>
          <t>Healthy</t>
        </is>
      </c>
      <c r="AO180" t="inlineStr">
        <is>
          <t>A</t>
        </is>
      </c>
      <c r="AP180" t="inlineStr"/>
      <c r="AQ180">
        <f>IF(AM180="P1",100,IF(AM180="P2",67,IF(AM180="P3",33,0)))</f>
        <v/>
      </c>
      <c r="AR180">
        <f>MIN(100,INT(IF(AI180&gt;0,AI180/Z180,AJ180/AD180)*100))</f>
        <v/>
      </c>
      <c r="AS180">
        <f>IF(AI180+AJ180=0,0,INT(100/D180))</f>
        <v/>
      </c>
      <c r="AT180">
        <f>IF(AO180="A",100,IF(AO180="B",67,33))</f>
        <v/>
      </c>
      <c r="AU180">
        <f>ROUND(0.40*AQ180+0.30*AR180+0.20*AS180+0.10*AT180,0)</f>
        <v/>
      </c>
      <c r="AV180" t="inlineStr"/>
    </row>
    <row r="181">
      <c r="A181" t="inlineStr"/>
      <c r="B181" t="inlineStr">
        <is>
          <t>2026-04-17</t>
        </is>
      </c>
      <c r="C181" t="inlineStr">
        <is>
          <t>2026-04-26</t>
        </is>
      </c>
      <c r="D181" t="n">
        <v>12</v>
      </c>
      <c r="E181" t="inlineStr">
        <is>
          <t>SKU_0003</t>
        </is>
      </c>
      <c r="F181" t="inlineStr">
        <is>
          <t>F1</t>
        </is>
      </c>
      <c r="G181" t="inlineStr">
        <is>
          <t>F1</t>
        </is>
      </c>
      <c r="H181" t="inlineStr">
        <is>
          <t>Detroit</t>
        </is>
      </c>
      <c r="I181" t="inlineStr">
        <is>
          <t>Midwest</t>
        </is>
      </c>
      <c r="J181" t="n">
        <v>42.3314</v>
      </c>
      <c r="K181" t="n">
        <v>-83.0458</v>
      </c>
      <c r="L181" t="inlineStr">
        <is>
          <t>Factory</t>
        </is>
      </c>
      <c r="M181" t="inlineStr">
        <is>
          <t>Surgical &amp; Mechanical</t>
        </is>
      </c>
      <c r="N181" t="n">
        <v>4863</v>
      </c>
      <c r="O181" t="n">
        <v>0</v>
      </c>
      <c r="P181" t="n">
        <v>0</v>
      </c>
      <c r="Q181" t="n">
        <v>0</v>
      </c>
      <c r="R181" t="n">
        <v>0</v>
      </c>
      <c r="S181" t="n">
        <v>1098</v>
      </c>
      <c r="T181" t="n">
        <v>1098</v>
      </c>
      <c r="U181" t="n">
        <v>0</v>
      </c>
      <c r="V181" t="n">
        <v>5961</v>
      </c>
      <c r="W181" t="n">
        <v>0</v>
      </c>
      <c r="X181" t="n">
        <v>7</v>
      </c>
      <c r="Y181" t="n">
        <v>28</v>
      </c>
      <c r="Z181" t="n">
        <v>1424</v>
      </c>
      <c r="AA181" t="n">
        <v>49</v>
      </c>
      <c r="AB181" t="n">
        <v>2492</v>
      </c>
      <c r="AC181" t="n">
        <v>92</v>
      </c>
      <c r="AD181" t="n">
        <v>4700</v>
      </c>
      <c r="AE181" t="n">
        <v>1424</v>
      </c>
      <c r="AF181" t="n">
        <v>4700</v>
      </c>
      <c r="AG181" t="n">
        <v>100</v>
      </c>
      <c r="AH181" t="n">
        <v>26</v>
      </c>
      <c r="AI181" t="n">
        <v>0</v>
      </c>
      <c r="AJ181" t="n">
        <v>1261</v>
      </c>
      <c r="AK181" t="inlineStr">
        <is>
          <t>SM</t>
        </is>
      </c>
      <c r="AL181" t="inlineStr">
        <is>
          <t>None</t>
        </is>
      </c>
      <c r="AM181" t="inlineStr">
        <is>
          <t>None</t>
        </is>
      </c>
      <c r="AN181" t="inlineStr">
        <is>
          <t>Healthy</t>
        </is>
      </c>
      <c r="AO181" t="inlineStr">
        <is>
          <t>A</t>
        </is>
      </c>
      <c r="AP181" t="inlineStr"/>
      <c r="AQ181">
        <f>IF(AM181="P1",100,IF(AM181="P2",67,IF(AM181="P3",33,0)))</f>
        <v/>
      </c>
      <c r="AR181">
        <f>MIN(100,INT(IF(AI181&gt;0,AI181/Z181,AJ181/AD181)*100))</f>
        <v/>
      </c>
      <c r="AS181">
        <f>IF(AI181+AJ181=0,0,INT(100/D181))</f>
        <v/>
      </c>
      <c r="AT181">
        <f>IF(AO181="A",100,IF(AO181="B",67,33))</f>
        <v/>
      </c>
      <c r="AU181">
        <f>ROUND(0.40*AQ181+0.30*AR181+0.20*AS181+0.10*AT181,0)</f>
        <v/>
      </c>
      <c r="AV181" t="inlineStr"/>
    </row>
    <row r="182">
      <c r="A182" t="inlineStr"/>
      <c r="B182" t="inlineStr">
        <is>
          <t>2026-04-17</t>
        </is>
      </c>
      <c r="C182" t="inlineStr">
        <is>
          <t>2026-02-08</t>
        </is>
      </c>
      <c r="D182" t="n">
        <v>1</v>
      </c>
      <c r="E182" t="inlineStr">
        <is>
          <t>SKU_0004</t>
        </is>
      </c>
      <c r="F182" t="inlineStr">
        <is>
          <t>DC1</t>
        </is>
      </c>
      <c r="G182" t="inlineStr">
        <is>
          <t>F1</t>
        </is>
      </c>
      <c r="H182" t="inlineStr">
        <is>
          <t>New York</t>
        </is>
      </c>
      <c r="I182" t="inlineStr">
        <is>
          <t>Northeast</t>
        </is>
      </c>
      <c r="J182" t="n">
        <v>40.7128</v>
      </c>
      <c r="K182" t="n">
        <v>-74.006</v>
      </c>
      <c r="L182" t="inlineStr">
        <is>
          <t>DC</t>
        </is>
      </c>
      <c r="M182" t="inlineStr">
        <is>
          <t>Medical Devices &amp; Diagnostics</t>
        </is>
      </c>
      <c r="N182" t="n">
        <v>411</v>
      </c>
      <c r="O182" t="n">
        <v>34</v>
      </c>
      <c r="P182" t="n">
        <v>0</v>
      </c>
      <c r="Q182" t="n">
        <v>34</v>
      </c>
      <c r="R182" t="n">
        <v>0</v>
      </c>
      <c r="S182" t="n">
        <v>0</v>
      </c>
      <c r="T182" t="n">
        <v>0</v>
      </c>
      <c r="U182" t="n">
        <v>0</v>
      </c>
      <c r="V182" t="n">
        <v>377</v>
      </c>
      <c r="W182" t="n">
        <v>77.59999999999999</v>
      </c>
      <c r="X182" t="n">
        <v>4</v>
      </c>
      <c r="Y182" t="n">
        <v>28</v>
      </c>
      <c r="Z182" t="n">
        <v>247</v>
      </c>
      <c r="AA182" t="n">
        <v>28</v>
      </c>
      <c r="AB182" t="n">
        <v>247</v>
      </c>
      <c r="AC182" t="n">
        <v>109</v>
      </c>
      <c r="AD182" t="n">
        <v>958</v>
      </c>
      <c r="AE182" t="n">
        <v>247</v>
      </c>
      <c r="AF182" t="n">
        <v>958</v>
      </c>
      <c r="AG182" t="n">
        <v>100</v>
      </c>
      <c r="AH182" t="n">
        <v>0</v>
      </c>
      <c r="AI182" t="n">
        <v>0</v>
      </c>
      <c r="AJ182" t="n">
        <v>0</v>
      </c>
      <c r="AK182" t="inlineStr">
        <is>
          <t>MDS</t>
        </is>
      </c>
      <c r="AL182" t="inlineStr">
        <is>
          <t>None</t>
        </is>
      </c>
      <c r="AM182" t="inlineStr">
        <is>
          <t>None</t>
        </is>
      </c>
      <c r="AN182" t="inlineStr">
        <is>
          <t>Healthy</t>
        </is>
      </c>
      <c r="AO182" t="inlineStr">
        <is>
          <t>C</t>
        </is>
      </c>
      <c r="AP182" t="inlineStr"/>
      <c r="AQ182">
        <f>IF(AM182="P1",100,IF(AM182="P2",67,IF(AM182="P3",33,0)))</f>
        <v/>
      </c>
      <c r="AR182">
        <f>MIN(100,INT(IF(AI182&gt;0,AI182/Z182,AJ182/AD182)*100))</f>
        <v/>
      </c>
      <c r="AS182">
        <f>IF(AI182+AJ182=0,0,INT(100/D182))</f>
        <v/>
      </c>
      <c r="AT182">
        <f>IF(AO182="A",100,IF(AO182="B",67,33))</f>
        <v/>
      </c>
      <c r="AU182">
        <f>ROUND(0.40*AQ182+0.30*AR182+0.20*AS182+0.10*AT182,0)</f>
        <v/>
      </c>
      <c r="AV182" t="inlineStr"/>
    </row>
    <row r="183">
      <c r="A183" t="inlineStr"/>
      <c r="B183" t="inlineStr">
        <is>
          <t>2026-04-17</t>
        </is>
      </c>
      <c r="C183" t="inlineStr">
        <is>
          <t>2026-02-15</t>
        </is>
      </c>
      <c r="D183" t="n">
        <v>2</v>
      </c>
      <c r="E183" t="inlineStr">
        <is>
          <t>SKU_0004</t>
        </is>
      </c>
      <c r="F183" t="inlineStr">
        <is>
          <t>DC1</t>
        </is>
      </c>
      <c r="G183" t="inlineStr">
        <is>
          <t>F1</t>
        </is>
      </c>
      <c r="H183" t="inlineStr">
        <is>
          <t>New York</t>
        </is>
      </c>
      <c r="I183" t="inlineStr">
        <is>
          <t>Northeast</t>
        </is>
      </c>
      <c r="J183" t="n">
        <v>40.7128</v>
      </c>
      <c r="K183" t="n">
        <v>-74.006</v>
      </c>
      <c r="L183" t="inlineStr">
        <is>
          <t>DC</t>
        </is>
      </c>
      <c r="M183" t="inlineStr">
        <is>
          <t>Medical Devices &amp; Diagnostics</t>
        </is>
      </c>
      <c r="N183" t="n">
        <v>377</v>
      </c>
      <c r="O183" t="n">
        <v>70</v>
      </c>
      <c r="P183" t="n">
        <v>0</v>
      </c>
      <c r="Q183" t="n">
        <v>70</v>
      </c>
      <c r="R183" t="n">
        <v>0</v>
      </c>
      <c r="S183" t="n">
        <v>0</v>
      </c>
      <c r="T183" t="n">
        <v>0</v>
      </c>
      <c r="U183" t="n">
        <v>0</v>
      </c>
      <c r="V183" t="n">
        <v>307</v>
      </c>
      <c r="W183" t="n">
        <v>30.7</v>
      </c>
      <c r="X183" t="n">
        <v>4</v>
      </c>
      <c r="Y183" t="n">
        <v>28</v>
      </c>
      <c r="Z183" t="n">
        <v>247</v>
      </c>
      <c r="AA183" t="n">
        <v>28</v>
      </c>
      <c r="AB183" t="n">
        <v>247</v>
      </c>
      <c r="AC183" t="n">
        <v>109</v>
      </c>
      <c r="AD183" t="n">
        <v>958</v>
      </c>
      <c r="AE183" t="n">
        <v>247</v>
      </c>
      <c r="AF183" t="n">
        <v>958</v>
      </c>
      <c r="AG183" t="n">
        <v>100</v>
      </c>
      <c r="AH183" t="n">
        <v>0</v>
      </c>
      <c r="AI183" t="n">
        <v>0</v>
      </c>
      <c r="AJ183" t="n">
        <v>0</v>
      </c>
      <c r="AK183" t="inlineStr">
        <is>
          <t>MDS</t>
        </is>
      </c>
      <c r="AL183" t="inlineStr">
        <is>
          <t>None</t>
        </is>
      </c>
      <c r="AM183" t="inlineStr">
        <is>
          <t>None</t>
        </is>
      </c>
      <c r="AN183" t="inlineStr">
        <is>
          <t>Healthy</t>
        </is>
      </c>
      <c r="AO183" t="inlineStr">
        <is>
          <t>C</t>
        </is>
      </c>
      <c r="AP183" t="inlineStr"/>
      <c r="AQ183">
        <f>IF(AM183="P1",100,IF(AM183="P2",67,IF(AM183="P3",33,0)))</f>
        <v/>
      </c>
      <c r="AR183">
        <f>MIN(100,INT(IF(AI183&gt;0,AI183/Z183,AJ183/AD183)*100))</f>
        <v/>
      </c>
      <c r="AS183">
        <f>IF(AI183+AJ183=0,0,INT(100/D183))</f>
        <v/>
      </c>
      <c r="AT183">
        <f>IF(AO183="A",100,IF(AO183="B",67,33))</f>
        <v/>
      </c>
      <c r="AU183">
        <f>ROUND(0.40*AQ183+0.30*AR183+0.20*AS183+0.10*AT183,0)</f>
        <v/>
      </c>
      <c r="AV183" t="inlineStr"/>
    </row>
    <row r="184">
      <c r="A184" t="inlineStr"/>
      <c r="B184" t="inlineStr">
        <is>
          <t>2026-04-17</t>
        </is>
      </c>
      <c r="C184" t="inlineStr">
        <is>
          <t>2026-02-22</t>
        </is>
      </c>
      <c r="D184" t="n">
        <v>3</v>
      </c>
      <c r="E184" t="inlineStr">
        <is>
          <t>SKU_0004</t>
        </is>
      </c>
      <c r="F184" t="inlineStr">
        <is>
          <t>DC1</t>
        </is>
      </c>
      <c r="G184" t="inlineStr">
        <is>
          <t>F1</t>
        </is>
      </c>
      <c r="H184" t="inlineStr">
        <is>
          <t>New York</t>
        </is>
      </c>
      <c r="I184" t="inlineStr">
        <is>
          <t>Northeast</t>
        </is>
      </c>
      <c r="J184" t="n">
        <v>40.7128</v>
      </c>
      <c r="K184" t="n">
        <v>-74.006</v>
      </c>
      <c r="L184" t="inlineStr">
        <is>
          <t>DC</t>
        </is>
      </c>
      <c r="M184" t="inlineStr">
        <is>
          <t>Medical Devices &amp; Diagnostics</t>
        </is>
      </c>
      <c r="N184" t="n">
        <v>307</v>
      </c>
      <c r="O184" t="n">
        <v>29</v>
      </c>
      <c r="P184" t="n">
        <v>0</v>
      </c>
      <c r="Q184" t="n">
        <v>29</v>
      </c>
      <c r="R184" t="n">
        <v>135</v>
      </c>
      <c r="S184" t="n">
        <v>0</v>
      </c>
      <c r="T184" t="n">
        <v>135</v>
      </c>
      <c r="U184" t="n">
        <v>0</v>
      </c>
      <c r="V184" t="n">
        <v>413</v>
      </c>
      <c r="W184" t="n">
        <v>99.7</v>
      </c>
      <c r="X184" t="n">
        <v>4</v>
      </c>
      <c r="Y184" t="n">
        <v>28</v>
      </c>
      <c r="Z184" t="n">
        <v>247</v>
      </c>
      <c r="AA184" t="n">
        <v>28</v>
      </c>
      <c r="AB184" t="n">
        <v>247</v>
      </c>
      <c r="AC184" t="n">
        <v>109</v>
      </c>
      <c r="AD184" t="n">
        <v>958</v>
      </c>
      <c r="AE184" t="n">
        <v>247</v>
      </c>
      <c r="AF184" t="n">
        <v>958</v>
      </c>
      <c r="AG184" t="n">
        <v>100</v>
      </c>
      <c r="AH184" t="n">
        <v>0</v>
      </c>
      <c r="AI184" t="n">
        <v>0</v>
      </c>
      <c r="AJ184" t="n">
        <v>0</v>
      </c>
      <c r="AK184" t="inlineStr">
        <is>
          <t>MDS</t>
        </is>
      </c>
      <c r="AL184" t="inlineStr">
        <is>
          <t>None</t>
        </is>
      </c>
      <c r="AM184" t="inlineStr">
        <is>
          <t>None</t>
        </is>
      </c>
      <c r="AN184" t="inlineStr">
        <is>
          <t>Healthy</t>
        </is>
      </c>
      <c r="AO184" t="inlineStr">
        <is>
          <t>C</t>
        </is>
      </c>
      <c r="AP184" t="inlineStr"/>
      <c r="AQ184">
        <f>IF(AM184="P1",100,IF(AM184="P2",67,IF(AM184="P3",33,0)))</f>
        <v/>
      </c>
      <c r="AR184">
        <f>MIN(100,INT(IF(AI184&gt;0,AI184/Z184,AJ184/AD184)*100))</f>
        <v/>
      </c>
      <c r="AS184">
        <f>IF(AI184+AJ184=0,0,INT(100/D184))</f>
        <v/>
      </c>
      <c r="AT184">
        <f>IF(AO184="A",100,IF(AO184="B",67,33))</f>
        <v/>
      </c>
      <c r="AU184">
        <f>ROUND(0.40*AQ184+0.30*AR184+0.20*AS184+0.10*AT184,0)</f>
        <v/>
      </c>
      <c r="AV184" t="inlineStr"/>
    </row>
    <row r="185">
      <c r="A185" t="inlineStr"/>
      <c r="B185" t="inlineStr">
        <is>
          <t>2026-04-17</t>
        </is>
      </c>
      <c r="C185" t="inlineStr">
        <is>
          <t>2026-03-01</t>
        </is>
      </c>
      <c r="D185" t="n">
        <v>4</v>
      </c>
      <c r="E185" t="inlineStr">
        <is>
          <t>SKU_0004</t>
        </is>
      </c>
      <c r="F185" t="inlineStr">
        <is>
          <t>DC1</t>
        </is>
      </c>
      <c r="G185" t="inlineStr">
        <is>
          <t>F1</t>
        </is>
      </c>
      <c r="H185" t="inlineStr">
        <is>
          <t>New York</t>
        </is>
      </c>
      <c r="I185" t="inlineStr">
        <is>
          <t>Northeast</t>
        </is>
      </c>
      <c r="J185" t="n">
        <v>40.7128</v>
      </c>
      <c r="K185" t="n">
        <v>-74.006</v>
      </c>
      <c r="L185" t="inlineStr">
        <is>
          <t>DC</t>
        </is>
      </c>
      <c r="M185" t="inlineStr">
        <is>
          <t>Medical Devices &amp; Diagnostics</t>
        </is>
      </c>
      <c r="N185" t="n">
        <v>413</v>
      </c>
      <c r="O185" t="n">
        <v>56</v>
      </c>
      <c r="P185" t="n">
        <v>0</v>
      </c>
      <c r="Q185" t="n">
        <v>56</v>
      </c>
      <c r="R185" t="n">
        <v>0</v>
      </c>
      <c r="S185" t="n">
        <v>0</v>
      </c>
      <c r="T185" t="n">
        <v>0</v>
      </c>
      <c r="U185" t="n">
        <v>0</v>
      </c>
      <c r="V185" t="n">
        <v>357</v>
      </c>
      <c r="W185" t="n">
        <v>44.6</v>
      </c>
      <c r="X185" t="n">
        <v>4</v>
      </c>
      <c r="Y185" t="n">
        <v>28</v>
      </c>
      <c r="Z185" t="n">
        <v>247</v>
      </c>
      <c r="AA185" t="n">
        <v>28</v>
      </c>
      <c r="AB185" t="n">
        <v>247</v>
      </c>
      <c r="AC185" t="n">
        <v>109</v>
      </c>
      <c r="AD185" t="n">
        <v>958</v>
      </c>
      <c r="AE185" t="n">
        <v>247</v>
      </c>
      <c r="AF185" t="n">
        <v>958</v>
      </c>
      <c r="AG185" t="n">
        <v>100</v>
      </c>
      <c r="AH185" t="n">
        <v>0</v>
      </c>
      <c r="AI185" t="n">
        <v>0</v>
      </c>
      <c r="AJ185" t="n">
        <v>0</v>
      </c>
      <c r="AK185" t="inlineStr">
        <is>
          <t>MDS</t>
        </is>
      </c>
      <c r="AL185" t="inlineStr">
        <is>
          <t>None</t>
        </is>
      </c>
      <c r="AM185" t="inlineStr">
        <is>
          <t>None</t>
        </is>
      </c>
      <c r="AN185" t="inlineStr">
        <is>
          <t>Healthy</t>
        </is>
      </c>
      <c r="AO185" t="inlineStr">
        <is>
          <t>C</t>
        </is>
      </c>
      <c r="AP185" t="inlineStr"/>
      <c r="AQ185">
        <f>IF(AM185="P1",100,IF(AM185="P2",67,IF(AM185="P3",33,0)))</f>
        <v/>
      </c>
      <c r="AR185">
        <f>MIN(100,INT(IF(AI185&gt;0,AI185/Z185,AJ185/AD185)*100))</f>
        <v/>
      </c>
      <c r="AS185">
        <f>IF(AI185+AJ185=0,0,INT(100/D185))</f>
        <v/>
      </c>
      <c r="AT185">
        <f>IF(AO185="A",100,IF(AO185="B",67,33))</f>
        <v/>
      </c>
      <c r="AU185">
        <f>ROUND(0.40*AQ185+0.30*AR185+0.20*AS185+0.10*AT185,0)</f>
        <v/>
      </c>
      <c r="AV185" t="inlineStr"/>
    </row>
    <row r="186">
      <c r="A186" t="inlineStr"/>
      <c r="B186" t="inlineStr">
        <is>
          <t>2026-04-17</t>
        </is>
      </c>
      <c r="C186" t="inlineStr">
        <is>
          <t>2026-03-08</t>
        </is>
      </c>
      <c r="D186" t="n">
        <v>5</v>
      </c>
      <c r="E186" t="inlineStr">
        <is>
          <t>SKU_0004</t>
        </is>
      </c>
      <c r="F186" t="inlineStr">
        <is>
          <t>DC1</t>
        </is>
      </c>
      <c r="G186" t="inlineStr">
        <is>
          <t>F1</t>
        </is>
      </c>
      <c r="H186" t="inlineStr">
        <is>
          <t>New York</t>
        </is>
      </c>
      <c r="I186" t="inlineStr">
        <is>
          <t>Northeast</t>
        </is>
      </c>
      <c r="J186" t="n">
        <v>40.7128</v>
      </c>
      <c r="K186" t="n">
        <v>-74.006</v>
      </c>
      <c r="L186" t="inlineStr">
        <is>
          <t>DC</t>
        </is>
      </c>
      <c r="M186" t="inlineStr">
        <is>
          <t>Medical Devices &amp; Diagnostics</t>
        </is>
      </c>
      <c r="N186" t="n">
        <v>357</v>
      </c>
      <c r="O186" t="n">
        <v>76</v>
      </c>
      <c r="P186" t="n">
        <v>0</v>
      </c>
      <c r="Q186" t="n">
        <v>76</v>
      </c>
      <c r="R186" t="n">
        <v>0</v>
      </c>
      <c r="S186" t="n">
        <v>0</v>
      </c>
      <c r="T186" t="n">
        <v>0</v>
      </c>
      <c r="U186" t="n">
        <v>0</v>
      </c>
      <c r="V186" t="n">
        <v>281</v>
      </c>
      <c r="W186" t="n">
        <v>25.9</v>
      </c>
      <c r="X186" t="n">
        <v>4</v>
      </c>
      <c r="Y186" t="n">
        <v>28</v>
      </c>
      <c r="Z186" t="n">
        <v>247</v>
      </c>
      <c r="AA186" t="n">
        <v>28</v>
      </c>
      <c r="AB186" t="n">
        <v>247</v>
      </c>
      <c r="AC186" t="n">
        <v>109</v>
      </c>
      <c r="AD186" t="n">
        <v>958</v>
      </c>
      <c r="AE186" t="n">
        <v>247</v>
      </c>
      <c r="AF186" t="n">
        <v>958</v>
      </c>
      <c r="AG186" t="n">
        <v>100</v>
      </c>
      <c r="AH186" t="n">
        <v>0</v>
      </c>
      <c r="AI186" t="n">
        <v>0</v>
      </c>
      <c r="AJ186" t="n">
        <v>0</v>
      </c>
      <c r="AK186" t="inlineStr">
        <is>
          <t>MDS</t>
        </is>
      </c>
      <c r="AL186" t="inlineStr">
        <is>
          <t>None</t>
        </is>
      </c>
      <c r="AM186" t="inlineStr">
        <is>
          <t>None</t>
        </is>
      </c>
      <c r="AN186" t="inlineStr">
        <is>
          <t>Healthy</t>
        </is>
      </c>
      <c r="AO186" t="inlineStr">
        <is>
          <t>C</t>
        </is>
      </c>
      <c r="AP186" t="inlineStr"/>
      <c r="AQ186">
        <f>IF(AM186="P1",100,IF(AM186="P2",67,IF(AM186="P3",33,0)))</f>
        <v/>
      </c>
      <c r="AR186">
        <f>MIN(100,INT(IF(AI186&gt;0,AI186/Z186,AJ186/AD186)*100))</f>
        <v/>
      </c>
      <c r="AS186">
        <f>IF(AI186+AJ186=0,0,INT(100/D186))</f>
        <v/>
      </c>
      <c r="AT186">
        <f>IF(AO186="A",100,IF(AO186="B",67,33))</f>
        <v/>
      </c>
      <c r="AU186">
        <f>ROUND(0.40*AQ186+0.30*AR186+0.20*AS186+0.10*AT186,0)</f>
        <v/>
      </c>
      <c r="AV186" t="inlineStr"/>
    </row>
    <row r="187">
      <c r="A187" t="inlineStr"/>
      <c r="B187" t="inlineStr">
        <is>
          <t>2026-04-17</t>
        </is>
      </c>
      <c r="C187" t="inlineStr">
        <is>
          <t>2026-03-15</t>
        </is>
      </c>
      <c r="D187" t="n">
        <v>6</v>
      </c>
      <c r="E187" t="inlineStr">
        <is>
          <t>SKU_0004</t>
        </is>
      </c>
      <c r="F187" t="inlineStr">
        <is>
          <t>DC1</t>
        </is>
      </c>
      <c r="G187" t="inlineStr">
        <is>
          <t>F1</t>
        </is>
      </c>
      <c r="H187" t="inlineStr">
        <is>
          <t>New York</t>
        </is>
      </c>
      <c r="I187" t="inlineStr">
        <is>
          <t>Northeast</t>
        </is>
      </c>
      <c r="J187" t="n">
        <v>40.7128</v>
      </c>
      <c r="K187" t="n">
        <v>-74.006</v>
      </c>
      <c r="L187" t="inlineStr">
        <is>
          <t>DC</t>
        </is>
      </c>
      <c r="M187" t="inlineStr">
        <is>
          <t>Medical Devices &amp; Diagnostics</t>
        </is>
      </c>
      <c r="N187" t="n">
        <v>281</v>
      </c>
      <c r="O187" t="n">
        <v>66</v>
      </c>
      <c r="P187" t="n">
        <v>0</v>
      </c>
      <c r="Q187" t="n">
        <v>66</v>
      </c>
      <c r="R187" t="n">
        <v>0</v>
      </c>
      <c r="S187" t="n">
        <v>131</v>
      </c>
      <c r="T187" t="n">
        <v>131</v>
      </c>
      <c r="U187" t="n">
        <v>0</v>
      </c>
      <c r="V187" t="n">
        <v>346</v>
      </c>
      <c r="W187" t="n">
        <v>36.7</v>
      </c>
      <c r="X187" t="n">
        <v>4</v>
      </c>
      <c r="Y187" t="n">
        <v>28</v>
      </c>
      <c r="Z187" t="n">
        <v>247</v>
      </c>
      <c r="AA187" t="n">
        <v>28</v>
      </c>
      <c r="AB187" t="n">
        <v>247</v>
      </c>
      <c r="AC187" t="n">
        <v>109</v>
      </c>
      <c r="AD187" t="n">
        <v>958</v>
      </c>
      <c r="AE187" t="n">
        <v>247</v>
      </c>
      <c r="AF187" t="n">
        <v>958</v>
      </c>
      <c r="AG187" t="n">
        <v>100</v>
      </c>
      <c r="AH187" t="n">
        <v>0</v>
      </c>
      <c r="AI187" t="n">
        <v>0</v>
      </c>
      <c r="AJ187" t="n">
        <v>0</v>
      </c>
      <c r="AK187" t="inlineStr">
        <is>
          <t>MDS</t>
        </is>
      </c>
      <c r="AL187" t="inlineStr">
        <is>
          <t>None</t>
        </is>
      </c>
      <c r="AM187" t="inlineStr">
        <is>
          <t>None</t>
        </is>
      </c>
      <c r="AN187" t="inlineStr">
        <is>
          <t>Healthy</t>
        </is>
      </c>
      <c r="AO187" t="inlineStr">
        <is>
          <t>C</t>
        </is>
      </c>
      <c r="AP187" t="inlineStr"/>
      <c r="AQ187">
        <f>IF(AM187="P1",100,IF(AM187="P2",67,IF(AM187="P3",33,0)))</f>
        <v/>
      </c>
      <c r="AR187">
        <f>MIN(100,INT(IF(AI187&gt;0,AI187/Z187,AJ187/AD187)*100))</f>
        <v/>
      </c>
      <c r="AS187">
        <f>IF(AI187+AJ187=0,0,INT(100/D187))</f>
        <v/>
      </c>
      <c r="AT187">
        <f>IF(AO187="A",100,IF(AO187="B",67,33))</f>
        <v/>
      </c>
      <c r="AU187">
        <f>ROUND(0.40*AQ187+0.30*AR187+0.20*AS187+0.10*AT187,0)</f>
        <v/>
      </c>
      <c r="AV187" t="inlineStr"/>
    </row>
    <row r="188">
      <c r="A188" t="inlineStr"/>
      <c r="B188" t="inlineStr">
        <is>
          <t>2026-04-17</t>
        </is>
      </c>
      <c r="C188" t="inlineStr">
        <is>
          <t>2026-03-22</t>
        </is>
      </c>
      <c r="D188" t="n">
        <v>7</v>
      </c>
      <c r="E188" t="inlineStr">
        <is>
          <t>SKU_0004</t>
        </is>
      </c>
      <c r="F188" t="inlineStr">
        <is>
          <t>DC1</t>
        </is>
      </c>
      <c r="G188" t="inlineStr">
        <is>
          <t>F1</t>
        </is>
      </c>
      <c r="H188" t="inlineStr">
        <is>
          <t>New York</t>
        </is>
      </c>
      <c r="I188" t="inlineStr">
        <is>
          <t>Northeast</t>
        </is>
      </c>
      <c r="J188" t="n">
        <v>40.7128</v>
      </c>
      <c r="K188" t="n">
        <v>-74.006</v>
      </c>
      <c r="L188" t="inlineStr">
        <is>
          <t>DC</t>
        </is>
      </c>
      <c r="M188" t="inlineStr">
        <is>
          <t>Medical Devices &amp; Diagnostics</t>
        </is>
      </c>
      <c r="N188" t="n">
        <v>346</v>
      </c>
      <c r="O188" t="n">
        <v>71</v>
      </c>
      <c r="P188" t="n">
        <v>0</v>
      </c>
      <c r="Q188" t="n">
        <v>71</v>
      </c>
      <c r="R188" t="n">
        <v>74</v>
      </c>
      <c r="S188" t="n">
        <v>0</v>
      </c>
      <c r="T188" t="n">
        <v>74</v>
      </c>
      <c r="U188" t="n">
        <v>0</v>
      </c>
      <c r="V188" t="n">
        <v>349</v>
      </c>
      <c r="W188" t="n">
        <v>34.4</v>
      </c>
      <c r="X188" t="n">
        <v>4</v>
      </c>
      <c r="Y188" t="n">
        <v>28</v>
      </c>
      <c r="Z188" t="n">
        <v>247</v>
      </c>
      <c r="AA188" t="n">
        <v>28</v>
      </c>
      <c r="AB188" t="n">
        <v>247</v>
      </c>
      <c r="AC188" t="n">
        <v>109</v>
      </c>
      <c r="AD188" t="n">
        <v>958</v>
      </c>
      <c r="AE188" t="n">
        <v>247</v>
      </c>
      <c r="AF188" t="n">
        <v>958</v>
      </c>
      <c r="AG188" t="n">
        <v>100</v>
      </c>
      <c r="AH188" t="n">
        <v>0</v>
      </c>
      <c r="AI188" t="n">
        <v>0</v>
      </c>
      <c r="AJ188" t="n">
        <v>0</v>
      </c>
      <c r="AK188" t="inlineStr">
        <is>
          <t>MDS</t>
        </is>
      </c>
      <c r="AL188" t="inlineStr">
        <is>
          <t>None</t>
        </is>
      </c>
      <c r="AM188" t="inlineStr">
        <is>
          <t>None</t>
        </is>
      </c>
      <c r="AN188" t="inlineStr">
        <is>
          <t>Healthy</t>
        </is>
      </c>
      <c r="AO188" t="inlineStr">
        <is>
          <t>C</t>
        </is>
      </c>
      <c r="AP188" t="inlineStr"/>
      <c r="AQ188">
        <f>IF(AM188="P1",100,IF(AM188="P2",67,IF(AM188="P3",33,0)))</f>
        <v/>
      </c>
      <c r="AR188">
        <f>MIN(100,INT(IF(AI188&gt;0,AI188/Z188,AJ188/AD188)*100))</f>
        <v/>
      </c>
      <c r="AS188">
        <f>IF(AI188+AJ188=0,0,INT(100/D188))</f>
        <v/>
      </c>
      <c r="AT188">
        <f>IF(AO188="A",100,IF(AO188="B",67,33))</f>
        <v/>
      </c>
      <c r="AU188">
        <f>ROUND(0.40*AQ188+0.30*AR188+0.20*AS188+0.10*AT188,0)</f>
        <v/>
      </c>
      <c r="AV188" t="inlineStr"/>
    </row>
    <row r="189">
      <c r="A189" t="inlineStr"/>
      <c r="B189" t="inlineStr">
        <is>
          <t>2026-04-17</t>
        </is>
      </c>
      <c r="C189" t="inlineStr">
        <is>
          <t>2026-03-29</t>
        </is>
      </c>
      <c r="D189" t="n">
        <v>8</v>
      </c>
      <c r="E189" t="inlineStr">
        <is>
          <t>SKU_0004</t>
        </is>
      </c>
      <c r="F189" t="inlineStr">
        <is>
          <t>DC1</t>
        </is>
      </c>
      <c r="G189" t="inlineStr">
        <is>
          <t>F1</t>
        </is>
      </c>
      <c r="H189" t="inlineStr">
        <is>
          <t>New York</t>
        </is>
      </c>
      <c r="I189" t="inlineStr">
        <is>
          <t>Northeast</t>
        </is>
      </c>
      <c r="J189" t="n">
        <v>40.7128</v>
      </c>
      <c r="K189" t="n">
        <v>-74.006</v>
      </c>
      <c r="L189" t="inlineStr">
        <is>
          <t>DC</t>
        </is>
      </c>
      <c r="M189" t="inlineStr">
        <is>
          <t>Medical Devices &amp; Diagnostics</t>
        </is>
      </c>
      <c r="N189" t="n">
        <v>349</v>
      </c>
      <c r="O189" t="n">
        <v>43</v>
      </c>
      <c r="P189" t="n">
        <v>0</v>
      </c>
      <c r="Q189" t="n">
        <v>43</v>
      </c>
      <c r="R189" t="n">
        <v>0</v>
      </c>
      <c r="S189" t="n">
        <v>426</v>
      </c>
      <c r="T189" t="n">
        <v>426</v>
      </c>
      <c r="U189" t="n">
        <v>0</v>
      </c>
      <c r="V189" t="n">
        <v>732</v>
      </c>
      <c r="W189" t="n">
        <v>119.2</v>
      </c>
      <c r="X189" t="n">
        <v>4</v>
      </c>
      <c r="Y189" t="n">
        <v>28</v>
      </c>
      <c r="Z189" t="n">
        <v>247</v>
      </c>
      <c r="AA189" t="n">
        <v>28</v>
      </c>
      <c r="AB189" t="n">
        <v>247</v>
      </c>
      <c r="AC189" t="n">
        <v>109</v>
      </c>
      <c r="AD189" t="n">
        <v>958</v>
      </c>
      <c r="AE189" t="n">
        <v>247</v>
      </c>
      <c r="AF189" t="n">
        <v>958</v>
      </c>
      <c r="AG189" t="n">
        <v>100</v>
      </c>
      <c r="AH189" t="n">
        <v>0</v>
      </c>
      <c r="AI189" t="n">
        <v>0</v>
      </c>
      <c r="AJ189" t="n">
        <v>0</v>
      </c>
      <c r="AK189" t="inlineStr">
        <is>
          <t>MDS</t>
        </is>
      </c>
      <c r="AL189" t="inlineStr">
        <is>
          <t>None</t>
        </is>
      </c>
      <c r="AM189" t="inlineStr">
        <is>
          <t>None</t>
        </is>
      </c>
      <c r="AN189" t="inlineStr">
        <is>
          <t>Healthy</t>
        </is>
      </c>
      <c r="AO189" t="inlineStr">
        <is>
          <t>C</t>
        </is>
      </c>
      <c r="AP189" t="inlineStr"/>
      <c r="AQ189">
        <f>IF(AM189="P1",100,IF(AM189="P2",67,IF(AM189="P3",33,0)))</f>
        <v/>
      </c>
      <c r="AR189">
        <f>MIN(100,INT(IF(AI189&gt;0,AI189/Z189,AJ189/AD189)*100))</f>
        <v/>
      </c>
      <c r="AS189">
        <f>IF(AI189+AJ189=0,0,INT(100/D189))</f>
        <v/>
      </c>
      <c r="AT189">
        <f>IF(AO189="A",100,IF(AO189="B",67,33))</f>
        <v/>
      </c>
      <c r="AU189">
        <f>ROUND(0.40*AQ189+0.30*AR189+0.20*AS189+0.10*AT189,0)</f>
        <v/>
      </c>
      <c r="AV189" t="inlineStr"/>
    </row>
    <row r="190">
      <c r="A190" t="inlineStr"/>
      <c r="B190" t="inlineStr">
        <is>
          <t>2026-04-17</t>
        </is>
      </c>
      <c r="C190" t="inlineStr">
        <is>
          <t>2026-04-05</t>
        </is>
      </c>
      <c r="D190" t="n">
        <v>9</v>
      </c>
      <c r="E190" t="inlineStr">
        <is>
          <t>SKU_0004</t>
        </is>
      </c>
      <c r="F190" t="inlineStr">
        <is>
          <t>DC1</t>
        </is>
      </c>
      <c r="G190" t="inlineStr">
        <is>
          <t>F1</t>
        </is>
      </c>
      <c r="H190" t="inlineStr">
        <is>
          <t>New York</t>
        </is>
      </c>
      <c r="I190" t="inlineStr">
        <is>
          <t>Northeast</t>
        </is>
      </c>
      <c r="J190" t="n">
        <v>40.7128</v>
      </c>
      <c r="K190" t="n">
        <v>-74.006</v>
      </c>
      <c r="L190" t="inlineStr">
        <is>
          <t>DC</t>
        </is>
      </c>
      <c r="M190" t="inlineStr">
        <is>
          <t>Medical Devices &amp; Diagnostics</t>
        </is>
      </c>
      <c r="N190" t="n">
        <v>732</v>
      </c>
      <c r="O190" t="n">
        <v>50</v>
      </c>
      <c r="P190" t="n">
        <v>0</v>
      </c>
      <c r="Q190" t="n">
        <v>50</v>
      </c>
      <c r="R190" t="n">
        <v>0</v>
      </c>
      <c r="S190" t="n">
        <v>0</v>
      </c>
      <c r="T190" t="n">
        <v>0</v>
      </c>
      <c r="U190" t="n">
        <v>0</v>
      </c>
      <c r="V190" t="n">
        <v>682</v>
      </c>
      <c r="W190" t="n">
        <v>95.5</v>
      </c>
      <c r="X190" t="n">
        <v>4</v>
      </c>
      <c r="Y190" t="n">
        <v>28</v>
      </c>
      <c r="Z190" t="n">
        <v>247</v>
      </c>
      <c r="AA190" t="n">
        <v>28</v>
      </c>
      <c r="AB190" t="n">
        <v>247</v>
      </c>
      <c r="AC190" t="n">
        <v>109</v>
      </c>
      <c r="AD190" t="n">
        <v>958</v>
      </c>
      <c r="AE190" t="n">
        <v>247</v>
      </c>
      <c r="AF190" t="n">
        <v>958</v>
      </c>
      <c r="AG190" t="n">
        <v>100</v>
      </c>
      <c r="AH190" t="n">
        <v>0</v>
      </c>
      <c r="AI190" t="n">
        <v>0</v>
      </c>
      <c r="AJ190" t="n">
        <v>0</v>
      </c>
      <c r="AK190" t="inlineStr">
        <is>
          <t>MDS</t>
        </is>
      </c>
      <c r="AL190" t="inlineStr">
        <is>
          <t>None</t>
        </is>
      </c>
      <c r="AM190" t="inlineStr">
        <is>
          <t>None</t>
        </is>
      </c>
      <c r="AN190" t="inlineStr">
        <is>
          <t>Healthy</t>
        </is>
      </c>
      <c r="AO190" t="inlineStr">
        <is>
          <t>C</t>
        </is>
      </c>
      <c r="AP190" t="inlineStr"/>
      <c r="AQ190">
        <f>IF(AM190="P1",100,IF(AM190="P2",67,IF(AM190="P3",33,0)))</f>
        <v/>
      </c>
      <c r="AR190">
        <f>MIN(100,INT(IF(AI190&gt;0,AI190/Z190,AJ190/AD190)*100))</f>
        <v/>
      </c>
      <c r="AS190">
        <f>IF(AI190+AJ190=0,0,INT(100/D190))</f>
        <v/>
      </c>
      <c r="AT190">
        <f>IF(AO190="A",100,IF(AO190="B",67,33))</f>
        <v/>
      </c>
      <c r="AU190">
        <f>ROUND(0.40*AQ190+0.30*AR190+0.20*AS190+0.10*AT190,0)</f>
        <v/>
      </c>
      <c r="AV190" t="inlineStr"/>
    </row>
    <row r="191">
      <c r="A191" t="inlineStr"/>
      <c r="B191" t="inlineStr">
        <is>
          <t>2026-04-17</t>
        </is>
      </c>
      <c r="C191" t="inlineStr">
        <is>
          <t>2026-04-12</t>
        </is>
      </c>
      <c r="D191" t="n">
        <v>10</v>
      </c>
      <c r="E191" t="inlineStr">
        <is>
          <t>SKU_0004</t>
        </is>
      </c>
      <c r="F191" t="inlineStr">
        <is>
          <t>DC1</t>
        </is>
      </c>
      <c r="G191" t="inlineStr">
        <is>
          <t>F1</t>
        </is>
      </c>
      <c r="H191" t="inlineStr">
        <is>
          <t>New York</t>
        </is>
      </c>
      <c r="I191" t="inlineStr">
        <is>
          <t>Northeast</t>
        </is>
      </c>
      <c r="J191" t="n">
        <v>40.7128</v>
      </c>
      <c r="K191" t="n">
        <v>-74.006</v>
      </c>
      <c r="L191" t="inlineStr">
        <is>
          <t>DC</t>
        </is>
      </c>
      <c r="M191" t="inlineStr">
        <is>
          <t>Medical Devices &amp; Diagnostics</t>
        </is>
      </c>
      <c r="N191" t="n">
        <v>682</v>
      </c>
      <c r="O191" t="n">
        <v>64</v>
      </c>
      <c r="P191" t="n">
        <v>0</v>
      </c>
      <c r="Q191" t="n">
        <v>64</v>
      </c>
      <c r="R191" t="n">
        <v>0</v>
      </c>
      <c r="S191" t="n">
        <v>152</v>
      </c>
      <c r="T191" t="n">
        <v>152</v>
      </c>
      <c r="U191" t="n">
        <v>0</v>
      </c>
      <c r="V191" t="n">
        <v>770</v>
      </c>
      <c r="W191" t="n">
        <v>84.2</v>
      </c>
      <c r="X191" t="n">
        <v>4</v>
      </c>
      <c r="Y191" t="n">
        <v>28</v>
      </c>
      <c r="Z191" t="n">
        <v>247</v>
      </c>
      <c r="AA191" t="n">
        <v>28</v>
      </c>
      <c r="AB191" t="n">
        <v>247</v>
      </c>
      <c r="AC191" t="n">
        <v>109</v>
      </c>
      <c r="AD191" t="n">
        <v>958</v>
      </c>
      <c r="AE191" t="n">
        <v>247</v>
      </c>
      <c r="AF191" t="n">
        <v>958</v>
      </c>
      <c r="AG191" t="n">
        <v>100</v>
      </c>
      <c r="AH191" t="n">
        <v>0</v>
      </c>
      <c r="AI191" t="n">
        <v>0</v>
      </c>
      <c r="AJ191" t="n">
        <v>0</v>
      </c>
      <c r="AK191" t="inlineStr">
        <is>
          <t>MDS</t>
        </is>
      </c>
      <c r="AL191" t="inlineStr">
        <is>
          <t>None</t>
        </is>
      </c>
      <c r="AM191" t="inlineStr">
        <is>
          <t>None</t>
        </is>
      </c>
      <c r="AN191" t="inlineStr">
        <is>
          <t>Healthy</t>
        </is>
      </c>
      <c r="AO191" t="inlineStr">
        <is>
          <t>C</t>
        </is>
      </c>
      <c r="AP191" t="inlineStr"/>
      <c r="AQ191">
        <f>IF(AM191="P1",100,IF(AM191="P2",67,IF(AM191="P3",33,0)))</f>
        <v/>
      </c>
      <c r="AR191">
        <f>MIN(100,INT(IF(AI191&gt;0,AI191/Z191,AJ191/AD191)*100))</f>
        <v/>
      </c>
      <c r="AS191">
        <f>IF(AI191+AJ191=0,0,INT(100/D191))</f>
        <v/>
      </c>
      <c r="AT191">
        <f>IF(AO191="A",100,IF(AO191="B",67,33))</f>
        <v/>
      </c>
      <c r="AU191">
        <f>ROUND(0.40*AQ191+0.30*AR191+0.20*AS191+0.10*AT191,0)</f>
        <v/>
      </c>
      <c r="AV191" t="inlineStr"/>
    </row>
    <row r="192">
      <c r="A192" t="inlineStr"/>
      <c r="B192" t="inlineStr">
        <is>
          <t>2026-04-17</t>
        </is>
      </c>
      <c r="C192" t="inlineStr">
        <is>
          <t>2026-04-19</t>
        </is>
      </c>
      <c r="D192" t="n">
        <v>11</v>
      </c>
      <c r="E192" t="inlineStr">
        <is>
          <t>SKU_0004</t>
        </is>
      </c>
      <c r="F192" t="inlineStr">
        <is>
          <t>DC1</t>
        </is>
      </c>
      <c r="G192" t="inlineStr">
        <is>
          <t>F1</t>
        </is>
      </c>
      <c r="H192" t="inlineStr">
        <is>
          <t>New York</t>
        </is>
      </c>
      <c r="I192" t="inlineStr">
        <is>
          <t>Northeast</t>
        </is>
      </c>
      <c r="J192" t="n">
        <v>40.7128</v>
      </c>
      <c r="K192" t="n">
        <v>-74.006</v>
      </c>
      <c r="L192" t="inlineStr">
        <is>
          <t>DC</t>
        </is>
      </c>
      <c r="M192" t="inlineStr">
        <is>
          <t>Medical Devices &amp; Diagnostics</t>
        </is>
      </c>
      <c r="N192" t="n">
        <v>770</v>
      </c>
      <c r="O192" t="n">
        <v>54</v>
      </c>
      <c r="P192" t="n">
        <v>0</v>
      </c>
      <c r="Q192" t="n">
        <v>54</v>
      </c>
      <c r="R192" t="n">
        <v>0</v>
      </c>
      <c r="S192" t="n">
        <v>99</v>
      </c>
      <c r="T192" t="n">
        <v>99</v>
      </c>
      <c r="U192" t="n">
        <v>0</v>
      </c>
      <c r="V192" t="n">
        <v>815</v>
      </c>
      <c r="W192" t="n">
        <v>105.6</v>
      </c>
      <c r="X192" t="n">
        <v>4</v>
      </c>
      <c r="Y192" t="n">
        <v>28</v>
      </c>
      <c r="Z192" t="n">
        <v>247</v>
      </c>
      <c r="AA192" t="n">
        <v>28</v>
      </c>
      <c r="AB192" t="n">
        <v>247</v>
      </c>
      <c r="AC192" t="n">
        <v>109</v>
      </c>
      <c r="AD192" t="n">
        <v>958</v>
      </c>
      <c r="AE192" t="n">
        <v>247</v>
      </c>
      <c r="AF192" t="n">
        <v>958</v>
      </c>
      <c r="AG192" t="n">
        <v>100</v>
      </c>
      <c r="AH192" t="n">
        <v>0</v>
      </c>
      <c r="AI192" t="n">
        <v>0</v>
      </c>
      <c r="AJ192" t="n">
        <v>0</v>
      </c>
      <c r="AK192" t="inlineStr">
        <is>
          <t>MDS</t>
        </is>
      </c>
      <c r="AL192" t="inlineStr">
        <is>
          <t>None</t>
        </is>
      </c>
      <c r="AM192" t="inlineStr">
        <is>
          <t>None</t>
        </is>
      </c>
      <c r="AN192" t="inlineStr">
        <is>
          <t>Healthy</t>
        </is>
      </c>
      <c r="AO192" t="inlineStr">
        <is>
          <t>C</t>
        </is>
      </c>
      <c r="AP192" t="inlineStr"/>
      <c r="AQ192">
        <f>IF(AM192="P1",100,IF(AM192="P2",67,IF(AM192="P3",33,0)))</f>
        <v/>
      </c>
      <c r="AR192">
        <f>MIN(100,INT(IF(AI192&gt;0,AI192/Z192,AJ192/AD192)*100))</f>
        <v/>
      </c>
      <c r="AS192">
        <f>IF(AI192+AJ192=0,0,INT(100/D192))</f>
        <v/>
      </c>
      <c r="AT192">
        <f>IF(AO192="A",100,IF(AO192="B",67,33))</f>
        <v/>
      </c>
      <c r="AU192">
        <f>ROUND(0.40*AQ192+0.30*AR192+0.20*AS192+0.10*AT192,0)</f>
        <v/>
      </c>
      <c r="AV192" t="inlineStr"/>
    </row>
    <row r="193">
      <c r="A193" t="inlineStr"/>
      <c r="B193" t="inlineStr">
        <is>
          <t>2026-04-17</t>
        </is>
      </c>
      <c r="C193" t="inlineStr">
        <is>
          <t>2026-04-26</t>
        </is>
      </c>
      <c r="D193" t="n">
        <v>12</v>
      </c>
      <c r="E193" t="inlineStr">
        <is>
          <t>SKU_0004</t>
        </is>
      </c>
      <c r="F193" t="inlineStr">
        <is>
          <t>DC1</t>
        </is>
      </c>
      <c r="G193" t="inlineStr">
        <is>
          <t>F1</t>
        </is>
      </c>
      <c r="H193" t="inlineStr">
        <is>
          <t>New York</t>
        </is>
      </c>
      <c r="I193" t="inlineStr">
        <is>
          <t>Northeast</t>
        </is>
      </c>
      <c r="J193" t="n">
        <v>40.7128</v>
      </c>
      <c r="K193" t="n">
        <v>-74.006</v>
      </c>
      <c r="L193" t="inlineStr">
        <is>
          <t>DC</t>
        </is>
      </c>
      <c r="M193" t="inlineStr">
        <is>
          <t>Medical Devices &amp; Diagnostics</t>
        </is>
      </c>
      <c r="N193" t="n">
        <v>815</v>
      </c>
      <c r="O193" t="n">
        <v>77</v>
      </c>
      <c r="P193" t="n">
        <v>0</v>
      </c>
      <c r="Q193" t="n">
        <v>77</v>
      </c>
      <c r="R193" t="n">
        <v>0</v>
      </c>
      <c r="S193" t="n">
        <v>170</v>
      </c>
      <c r="T193" t="n">
        <v>170</v>
      </c>
      <c r="U193" t="n">
        <v>0</v>
      </c>
      <c r="V193" t="n">
        <v>908</v>
      </c>
      <c r="W193" t="n">
        <v>82.5</v>
      </c>
      <c r="X193" t="n">
        <v>4</v>
      </c>
      <c r="Y193" t="n">
        <v>28</v>
      </c>
      <c r="Z193" t="n">
        <v>247</v>
      </c>
      <c r="AA193" t="n">
        <v>28</v>
      </c>
      <c r="AB193" t="n">
        <v>247</v>
      </c>
      <c r="AC193" t="n">
        <v>109</v>
      </c>
      <c r="AD193" t="n">
        <v>958</v>
      </c>
      <c r="AE193" t="n">
        <v>247</v>
      </c>
      <c r="AF193" t="n">
        <v>958</v>
      </c>
      <c r="AG193" t="n">
        <v>100</v>
      </c>
      <c r="AH193" t="n">
        <v>0</v>
      </c>
      <c r="AI193" t="n">
        <v>0</v>
      </c>
      <c r="AJ193" t="n">
        <v>0</v>
      </c>
      <c r="AK193" t="inlineStr">
        <is>
          <t>MDS</t>
        </is>
      </c>
      <c r="AL193" t="inlineStr">
        <is>
          <t>None</t>
        </is>
      </c>
      <c r="AM193" t="inlineStr">
        <is>
          <t>None</t>
        </is>
      </c>
      <c r="AN193" t="inlineStr">
        <is>
          <t>Healthy</t>
        </is>
      </c>
      <c r="AO193" t="inlineStr">
        <is>
          <t>C</t>
        </is>
      </c>
      <c r="AP193" t="inlineStr"/>
      <c r="AQ193">
        <f>IF(AM193="P1",100,IF(AM193="P2",67,IF(AM193="P3",33,0)))</f>
        <v/>
      </c>
      <c r="AR193">
        <f>MIN(100,INT(IF(AI193&gt;0,AI193/Z193,AJ193/AD193)*100))</f>
        <v/>
      </c>
      <c r="AS193">
        <f>IF(AI193+AJ193=0,0,INT(100/D193))</f>
        <v/>
      </c>
      <c r="AT193">
        <f>IF(AO193="A",100,IF(AO193="B",67,33))</f>
        <v/>
      </c>
      <c r="AU193">
        <f>ROUND(0.40*AQ193+0.30*AR193+0.20*AS193+0.10*AT193,0)</f>
        <v/>
      </c>
      <c r="AV193" t="inlineStr"/>
    </row>
    <row r="194">
      <c r="A194" t="inlineStr"/>
      <c r="B194" t="inlineStr">
        <is>
          <t>2026-04-17</t>
        </is>
      </c>
      <c r="C194" t="inlineStr">
        <is>
          <t>2026-02-08</t>
        </is>
      </c>
      <c r="D194" t="n">
        <v>1</v>
      </c>
      <c r="E194" t="inlineStr">
        <is>
          <t>SKU_0004</t>
        </is>
      </c>
      <c r="F194" t="inlineStr">
        <is>
          <t>DC2</t>
        </is>
      </c>
      <c r="G194" t="inlineStr">
        <is>
          <t>F1</t>
        </is>
      </c>
      <c r="H194" t="inlineStr">
        <is>
          <t>Los Angeles</t>
        </is>
      </c>
      <c r="I194" t="inlineStr">
        <is>
          <t>West</t>
        </is>
      </c>
      <c r="J194" t="n">
        <v>34.0522</v>
      </c>
      <c r="K194" t="n">
        <v>-118.2437</v>
      </c>
      <c r="L194" t="inlineStr">
        <is>
          <t>DC</t>
        </is>
      </c>
      <c r="M194" t="inlineStr">
        <is>
          <t>Medical Devices &amp; Diagnostics</t>
        </is>
      </c>
      <c r="N194" t="n">
        <v>639</v>
      </c>
      <c r="O194" t="n">
        <v>108</v>
      </c>
      <c r="P194" t="n">
        <v>0</v>
      </c>
      <c r="Q194" t="n">
        <v>108</v>
      </c>
      <c r="R194" t="n">
        <v>0</v>
      </c>
      <c r="S194" t="n">
        <v>342</v>
      </c>
      <c r="T194" t="n">
        <v>342</v>
      </c>
      <c r="U194" t="n">
        <v>0</v>
      </c>
      <c r="V194" t="n">
        <v>873</v>
      </c>
      <c r="W194" t="n">
        <v>56.6</v>
      </c>
      <c r="X194" t="n">
        <v>4</v>
      </c>
      <c r="Y194" t="n">
        <v>28</v>
      </c>
      <c r="Z194" t="n">
        <v>497</v>
      </c>
      <c r="AA194" t="n">
        <v>28</v>
      </c>
      <c r="AB194" t="n">
        <v>497</v>
      </c>
      <c r="AC194" t="n">
        <v>65</v>
      </c>
      <c r="AD194" t="n">
        <v>1159</v>
      </c>
      <c r="AE194" t="n">
        <v>497</v>
      </c>
      <c r="AF194" t="n">
        <v>1159</v>
      </c>
      <c r="AG194" t="n">
        <v>100</v>
      </c>
      <c r="AH194" t="n">
        <v>0</v>
      </c>
      <c r="AI194" t="n">
        <v>0</v>
      </c>
      <c r="AJ194" t="n">
        <v>0</v>
      </c>
      <c r="AK194" t="inlineStr">
        <is>
          <t>MDS</t>
        </is>
      </c>
      <c r="AL194" t="inlineStr">
        <is>
          <t>None</t>
        </is>
      </c>
      <c r="AM194" t="inlineStr">
        <is>
          <t>None</t>
        </is>
      </c>
      <c r="AN194" t="inlineStr">
        <is>
          <t>Healthy</t>
        </is>
      </c>
      <c r="AO194" t="inlineStr">
        <is>
          <t>C</t>
        </is>
      </c>
      <c r="AP194" t="inlineStr"/>
      <c r="AQ194">
        <f>IF(AM194="P1",100,IF(AM194="P2",67,IF(AM194="P3",33,0)))</f>
        <v/>
      </c>
      <c r="AR194">
        <f>MIN(100,INT(IF(AI194&gt;0,AI194/Z194,AJ194/AD194)*100))</f>
        <v/>
      </c>
      <c r="AS194">
        <f>IF(AI194+AJ194=0,0,INT(100/D194))</f>
        <v/>
      </c>
      <c r="AT194">
        <f>IF(AO194="A",100,IF(AO194="B",67,33))</f>
        <v/>
      </c>
      <c r="AU194">
        <f>ROUND(0.40*AQ194+0.30*AR194+0.20*AS194+0.10*AT194,0)</f>
        <v/>
      </c>
      <c r="AV194" t="inlineStr"/>
    </row>
    <row r="195">
      <c r="A195" t="inlineStr">
        <is>
          <t>BD-24536581-00089</t>
        </is>
      </c>
      <c r="B195" t="inlineStr">
        <is>
          <t>2026-04-17</t>
        </is>
      </c>
      <c r="C195" t="inlineStr">
        <is>
          <t>2026-02-15</t>
        </is>
      </c>
      <c r="D195" t="n">
        <v>2</v>
      </c>
      <c r="E195" t="inlineStr">
        <is>
          <t>SKU_0004</t>
        </is>
      </c>
      <c r="F195" t="inlineStr">
        <is>
          <t>DC2</t>
        </is>
      </c>
      <c r="G195" t="inlineStr">
        <is>
          <t>F1</t>
        </is>
      </c>
      <c r="H195" t="inlineStr">
        <is>
          <t>Los Angeles</t>
        </is>
      </c>
      <c r="I195" t="inlineStr">
        <is>
          <t>West</t>
        </is>
      </c>
      <c r="J195" t="n">
        <v>34.0522</v>
      </c>
      <c r="K195" t="n">
        <v>-118.2437</v>
      </c>
      <c r="L195" t="inlineStr">
        <is>
          <t>DC</t>
        </is>
      </c>
      <c r="M195" t="inlineStr">
        <is>
          <t>Medical Devices &amp; Diagnostics</t>
        </is>
      </c>
      <c r="N195" t="n">
        <v>873</v>
      </c>
      <c r="O195" t="n">
        <v>111</v>
      </c>
      <c r="P195" t="n">
        <v>0</v>
      </c>
      <c r="Q195" t="n">
        <v>111</v>
      </c>
      <c r="R195" t="n">
        <v>0</v>
      </c>
      <c r="S195" t="n">
        <v>651</v>
      </c>
      <c r="T195" t="n">
        <v>651</v>
      </c>
      <c r="U195" t="n">
        <v>0</v>
      </c>
      <c r="V195" t="n">
        <v>1413</v>
      </c>
      <c r="W195" t="n">
        <v>89.09999999999999</v>
      </c>
      <c r="X195" t="n">
        <v>4</v>
      </c>
      <c r="Y195" t="n">
        <v>28</v>
      </c>
      <c r="Z195" t="n">
        <v>497</v>
      </c>
      <c r="AA195" t="n">
        <v>28</v>
      </c>
      <c r="AB195" t="n">
        <v>497</v>
      </c>
      <c r="AC195" t="n">
        <v>65</v>
      </c>
      <c r="AD195" t="n">
        <v>1159</v>
      </c>
      <c r="AE195" t="n">
        <v>497</v>
      </c>
      <c r="AF195" t="n">
        <v>1159</v>
      </c>
      <c r="AG195" t="n">
        <v>100</v>
      </c>
      <c r="AH195" t="n">
        <v>21</v>
      </c>
      <c r="AI195" t="n">
        <v>0</v>
      </c>
      <c r="AJ195" t="n">
        <v>254</v>
      </c>
      <c r="AK195" t="inlineStr">
        <is>
          <t>MDS</t>
        </is>
      </c>
      <c r="AL195" t="inlineStr">
        <is>
          <t>High ESTN</t>
        </is>
      </c>
      <c r="AM195" t="inlineStr">
        <is>
          <t>P1</t>
        </is>
      </c>
      <c r="AN195" t="inlineStr">
        <is>
          <t>Critical Excess</t>
        </is>
      </c>
      <c r="AO195" t="inlineStr">
        <is>
          <t>C</t>
        </is>
      </c>
      <c r="AP195" t="inlineStr"/>
      <c r="AQ195">
        <f>IF(AM195="P1",100,IF(AM195="P2",67,IF(AM195="P3",33,0)))</f>
        <v/>
      </c>
      <c r="AR195">
        <f>MIN(100,INT(IF(AI195&gt;0,AI195/Z195,AJ195/AD195)*100))</f>
        <v/>
      </c>
      <c r="AS195">
        <f>IF(AI195+AJ195=0,0,INT(100/D195))</f>
        <v/>
      </c>
      <c r="AT195">
        <f>IF(AO195="A",100,IF(AO195="B",67,33))</f>
        <v/>
      </c>
      <c r="AU195">
        <f>ROUND(0.40*AQ195+0.30*AR195+0.20*AS195+0.10*AT195,0)</f>
        <v/>
      </c>
      <c r="AV195" t="inlineStr">
        <is>
          <t>Opening inventory of 873 and supply of 651 exceed the demand of 111, resulting in a projected surplus of 1413. This inventory levels violates the maximum stock threshold of 1159 units by 254 units, increasing holding risk.</t>
        </is>
      </c>
    </row>
    <row r="196">
      <c r="A196" t="inlineStr"/>
      <c r="B196" t="inlineStr">
        <is>
          <t>2026-04-17</t>
        </is>
      </c>
      <c r="C196" t="inlineStr">
        <is>
          <t>2026-02-22</t>
        </is>
      </c>
      <c r="D196" t="n">
        <v>3</v>
      </c>
      <c r="E196" t="inlineStr">
        <is>
          <t>SKU_0004</t>
        </is>
      </c>
      <c r="F196" t="inlineStr">
        <is>
          <t>DC2</t>
        </is>
      </c>
      <c r="G196" t="inlineStr">
        <is>
          <t>F1</t>
        </is>
      </c>
      <c r="H196" t="inlineStr">
        <is>
          <t>Los Angeles</t>
        </is>
      </c>
      <c r="I196" t="inlineStr">
        <is>
          <t>West</t>
        </is>
      </c>
      <c r="J196" t="n">
        <v>34.0522</v>
      </c>
      <c r="K196" t="n">
        <v>-118.2437</v>
      </c>
      <c r="L196" t="inlineStr">
        <is>
          <t>DC</t>
        </is>
      </c>
      <c r="M196" t="inlineStr">
        <is>
          <t>Medical Devices &amp; Diagnostics</t>
        </is>
      </c>
      <c r="N196" t="n">
        <v>1413</v>
      </c>
      <c r="O196" t="n">
        <v>137</v>
      </c>
      <c r="P196" t="n">
        <v>0</v>
      </c>
      <c r="Q196" t="n">
        <v>137</v>
      </c>
      <c r="R196" t="n">
        <v>0</v>
      </c>
      <c r="S196" t="n">
        <v>0</v>
      </c>
      <c r="T196" t="n">
        <v>0</v>
      </c>
      <c r="U196" t="n">
        <v>0</v>
      </c>
      <c r="V196" t="n">
        <v>1276</v>
      </c>
      <c r="W196" t="n">
        <v>65.2</v>
      </c>
      <c r="X196" t="n">
        <v>4</v>
      </c>
      <c r="Y196" t="n">
        <v>28</v>
      </c>
      <c r="Z196" t="n">
        <v>497</v>
      </c>
      <c r="AA196" t="n">
        <v>28</v>
      </c>
      <c r="AB196" t="n">
        <v>497</v>
      </c>
      <c r="AC196" t="n">
        <v>65</v>
      </c>
      <c r="AD196" t="n">
        <v>1159</v>
      </c>
      <c r="AE196" t="n">
        <v>497</v>
      </c>
      <c r="AF196" t="n">
        <v>1159</v>
      </c>
      <c r="AG196" t="n">
        <v>100</v>
      </c>
      <c r="AH196" t="n">
        <v>10</v>
      </c>
      <c r="AI196" t="n">
        <v>0</v>
      </c>
      <c r="AJ196" t="n">
        <v>117</v>
      </c>
      <c r="AK196" t="inlineStr">
        <is>
          <t>MDS</t>
        </is>
      </c>
      <c r="AL196" t="inlineStr">
        <is>
          <t>None</t>
        </is>
      </c>
      <c r="AM196" t="inlineStr">
        <is>
          <t>None</t>
        </is>
      </c>
      <c r="AN196" t="inlineStr">
        <is>
          <t>Healthy</t>
        </is>
      </c>
      <c r="AO196" t="inlineStr">
        <is>
          <t>C</t>
        </is>
      </c>
      <c r="AP196" t="inlineStr"/>
      <c r="AQ196">
        <f>IF(AM196="P1",100,IF(AM196="P2",67,IF(AM196="P3",33,0)))</f>
        <v/>
      </c>
      <c r="AR196">
        <f>MIN(100,INT(IF(AI196&gt;0,AI196/Z196,AJ196/AD196)*100))</f>
        <v/>
      </c>
      <c r="AS196">
        <f>IF(AI196+AJ196=0,0,INT(100/D196))</f>
        <v/>
      </c>
      <c r="AT196">
        <f>IF(AO196="A",100,IF(AO196="B",67,33))</f>
        <v/>
      </c>
      <c r="AU196">
        <f>ROUND(0.40*AQ196+0.30*AR196+0.20*AS196+0.10*AT196,0)</f>
        <v/>
      </c>
      <c r="AV196" t="inlineStr"/>
    </row>
    <row r="197">
      <c r="A197" t="inlineStr">
        <is>
          <t>BD-24536581-00090</t>
        </is>
      </c>
      <c r="B197" t="inlineStr">
        <is>
          <t>2026-04-17</t>
        </is>
      </c>
      <c r="C197" t="inlineStr">
        <is>
          <t>2026-03-01</t>
        </is>
      </c>
      <c r="D197" t="n">
        <v>4</v>
      </c>
      <c r="E197" t="inlineStr">
        <is>
          <t>SKU_0004</t>
        </is>
      </c>
      <c r="F197" t="inlineStr">
        <is>
          <t>DC2</t>
        </is>
      </c>
      <c r="G197" t="inlineStr">
        <is>
          <t>F1</t>
        </is>
      </c>
      <c r="H197" t="inlineStr">
        <is>
          <t>Los Angeles</t>
        </is>
      </c>
      <c r="I197" t="inlineStr">
        <is>
          <t>West</t>
        </is>
      </c>
      <c r="J197" t="n">
        <v>34.0522</v>
      </c>
      <c r="K197" t="n">
        <v>-118.2437</v>
      </c>
      <c r="L197" t="inlineStr">
        <is>
          <t>DC</t>
        </is>
      </c>
      <c r="M197" t="inlineStr">
        <is>
          <t>Medical Devices &amp; Diagnostics</t>
        </is>
      </c>
      <c r="N197" t="n">
        <v>1276</v>
      </c>
      <c r="O197" t="n">
        <v>90</v>
      </c>
      <c r="P197" t="n">
        <v>0</v>
      </c>
      <c r="Q197" t="n">
        <v>90</v>
      </c>
      <c r="R197" t="n">
        <v>0</v>
      </c>
      <c r="S197" t="n">
        <v>333</v>
      </c>
      <c r="T197" t="n">
        <v>333</v>
      </c>
      <c r="U197" t="n">
        <v>0</v>
      </c>
      <c r="V197" t="n">
        <v>1519</v>
      </c>
      <c r="W197" t="n">
        <v>118.1</v>
      </c>
      <c r="X197" t="n">
        <v>4</v>
      </c>
      <c r="Y197" t="n">
        <v>28</v>
      </c>
      <c r="Z197" t="n">
        <v>497</v>
      </c>
      <c r="AA197" t="n">
        <v>28</v>
      </c>
      <c r="AB197" t="n">
        <v>497</v>
      </c>
      <c r="AC197" t="n">
        <v>65</v>
      </c>
      <c r="AD197" t="n">
        <v>1159</v>
      </c>
      <c r="AE197" t="n">
        <v>497</v>
      </c>
      <c r="AF197" t="n">
        <v>1159</v>
      </c>
      <c r="AG197" t="n">
        <v>100</v>
      </c>
      <c r="AH197" t="n">
        <v>31</v>
      </c>
      <c r="AI197" t="n">
        <v>0</v>
      </c>
      <c r="AJ197" t="n">
        <v>360</v>
      </c>
      <c r="AK197" t="inlineStr">
        <is>
          <t>MDS</t>
        </is>
      </c>
      <c r="AL197" t="inlineStr">
        <is>
          <t>High ESTN</t>
        </is>
      </c>
      <c r="AM197" t="inlineStr">
        <is>
          <t>P1</t>
        </is>
      </c>
      <c r="AN197" t="inlineStr">
        <is>
          <t>Critical Excess</t>
        </is>
      </c>
      <c r="AO197" t="inlineStr">
        <is>
          <t>C</t>
        </is>
      </c>
      <c r="AP197" t="inlineStr"/>
      <c r="AQ197">
        <f>IF(AM197="P1",100,IF(AM197="P2",67,IF(AM197="P3",33,0)))</f>
        <v/>
      </c>
      <c r="AR197">
        <f>MIN(100,INT(IF(AI197&gt;0,AI197/Z197,AJ197/AD197)*100))</f>
        <v/>
      </c>
      <c r="AS197">
        <f>IF(AI197+AJ197=0,0,INT(100/D197))</f>
        <v/>
      </c>
      <c r="AT197">
        <f>IF(AO197="A",100,IF(AO197="B",67,33))</f>
        <v/>
      </c>
      <c r="AU197">
        <f>ROUND(0.40*AQ197+0.30*AR197+0.20*AS197+0.10*AT197,0)</f>
        <v/>
      </c>
      <c r="AV197" t="inlineStr">
        <is>
          <t>Opening inventory of 1276 and supply of 333 exceed the demand of 90, resulting in a projected surplus of 1519. This inventory levels violates the maximum stock threshold of 1159 units by 360 units, increasing holding risk.</t>
        </is>
      </c>
    </row>
    <row r="198">
      <c r="A198" t="inlineStr">
        <is>
          <t>BD-24536581-00091</t>
        </is>
      </c>
      <c r="B198" t="inlineStr">
        <is>
          <t>2026-04-17</t>
        </is>
      </c>
      <c r="C198" t="inlineStr">
        <is>
          <t>2026-03-08</t>
        </is>
      </c>
      <c r="D198" t="n">
        <v>5</v>
      </c>
      <c r="E198" t="inlineStr">
        <is>
          <t>SKU_0004</t>
        </is>
      </c>
      <c r="F198" t="inlineStr">
        <is>
          <t>DC2</t>
        </is>
      </c>
      <c r="G198" t="inlineStr">
        <is>
          <t>F1</t>
        </is>
      </c>
      <c r="H198" t="inlineStr">
        <is>
          <t>Los Angeles</t>
        </is>
      </c>
      <c r="I198" t="inlineStr">
        <is>
          <t>West</t>
        </is>
      </c>
      <c r="J198" t="n">
        <v>34.0522</v>
      </c>
      <c r="K198" t="n">
        <v>-118.2437</v>
      </c>
      <c r="L198" t="inlineStr">
        <is>
          <t>DC</t>
        </is>
      </c>
      <c r="M198" t="inlineStr">
        <is>
          <t>Medical Devices &amp; Diagnostics</t>
        </is>
      </c>
      <c r="N198" t="n">
        <v>1519</v>
      </c>
      <c r="O198" t="n">
        <v>101</v>
      </c>
      <c r="P198" t="n">
        <v>0</v>
      </c>
      <c r="Q198" t="n">
        <v>101</v>
      </c>
      <c r="R198" t="n">
        <v>0</v>
      </c>
      <c r="S198" t="n">
        <v>0</v>
      </c>
      <c r="T198" t="n">
        <v>0</v>
      </c>
      <c r="U198" t="n">
        <v>0</v>
      </c>
      <c r="V198" t="n">
        <v>1418</v>
      </c>
      <c r="W198" t="n">
        <v>98.3</v>
      </c>
      <c r="X198" t="n">
        <v>4</v>
      </c>
      <c r="Y198" t="n">
        <v>28</v>
      </c>
      <c r="Z198" t="n">
        <v>497</v>
      </c>
      <c r="AA198" t="n">
        <v>28</v>
      </c>
      <c r="AB198" t="n">
        <v>497</v>
      </c>
      <c r="AC198" t="n">
        <v>65</v>
      </c>
      <c r="AD198" t="n">
        <v>1159</v>
      </c>
      <c r="AE198" t="n">
        <v>497</v>
      </c>
      <c r="AF198" t="n">
        <v>1159</v>
      </c>
      <c r="AG198" t="n">
        <v>100</v>
      </c>
      <c r="AH198" t="n">
        <v>22</v>
      </c>
      <c r="AI198" t="n">
        <v>0</v>
      </c>
      <c r="AJ198" t="n">
        <v>259</v>
      </c>
      <c r="AK198" t="inlineStr">
        <is>
          <t>MDS</t>
        </is>
      </c>
      <c r="AL198" t="inlineStr">
        <is>
          <t>High ESTN</t>
        </is>
      </c>
      <c r="AM198" t="inlineStr">
        <is>
          <t>P1</t>
        </is>
      </c>
      <c r="AN198" t="inlineStr">
        <is>
          <t>Critical Excess</t>
        </is>
      </c>
      <c r="AO198" t="inlineStr">
        <is>
          <t>C</t>
        </is>
      </c>
      <c r="AP198" t="inlineStr"/>
      <c r="AQ198">
        <f>IF(AM198="P1",100,IF(AM198="P2",67,IF(AM198="P3",33,0)))</f>
        <v/>
      </c>
      <c r="AR198">
        <f>MIN(100,INT(IF(AI198&gt;0,AI198/Z198,AJ198/AD198)*100))</f>
        <v/>
      </c>
      <c r="AS198">
        <f>IF(AI198+AJ198=0,0,INT(100/D198))</f>
        <v/>
      </c>
      <c r="AT198">
        <f>IF(AO198="A",100,IF(AO198="B",67,33))</f>
        <v/>
      </c>
      <c r="AU198">
        <f>ROUND(0.40*AQ198+0.30*AR198+0.20*AS198+0.10*AT198,0)</f>
        <v/>
      </c>
      <c r="AV198" t="inlineStr">
        <is>
          <t>Opening inventory of 1519 and supply of 0 exceed the demand of 101, resulting in a projected surplus of 1418. This inventory levels violates the maximum stock threshold of 1159 units by 259 units, increasing holding risk.</t>
        </is>
      </c>
    </row>
    <row r="199">
      <c r="A199" t="inlineStr"/>
      <c r="B199" t="inlineStr">
        <is>
          <t>2026-04-17</t>
        </is>
      </c>
      <c r="C199" t="inlineStr">
        <is>
          <t>2026-03-15</t>
        </is>
      </c>
      <c r="D199" t="n">
        <v>6</v>
      </c>
      <c r="E199" t="inlineStr">
        <is>
          <t>SKU_0004</t>
        </is>
      </c>
      <c r="F199" t="inlineStr">
        <is>
          <t>DC2</t>
        </is>
      </c>
      <c r="G199" t="inlineStr">
        <is>
          <t>F1</t>
        </is>
      </c>
      <c r="H199" t="inlineStr">
        <is>
          <t>Los Angeles</t>
        </is>
      </c>
      <c r="I199" t="inlineStr">
        <is>
          <t>West</t>
        </is>
      </c>
      <c r="J199" t="n">
        <v>34.0522</v>
      </c>
      <c r="K199" t="n">
        <v>-118.2437</v>
      </c>
      <c r="L199" t="inlineStr">
        <is>
          <t>DC</t>
        </is>
      </c>
      <c r="M199" t="inlineStr">
        <is>
          <t>Medical Devices &amp; Diagnostics</t>
        </is>
      </c>
      <c r="N199" t="n">
        <v>1418</v>
      </c>
      <c r="O199" t="n">
        <v>130</v>
      </c>
      <c r="P199" t="n">
        <v>0</v>
      </c>
      <c r="Q199" t="n">
        <v>130</v>
      </c>
      <c r="R199" t="n">
        <v>0</v>
      </c>
      <c r="S199" t="n">
        <v>0</v>
      </c>
      <c r="T199" t="n">
        <v>0</v>
      </c>
      <c r="U199" t="n">
        <v>0</v>
      </c>
      <c r="V199" t="n">
        <v>1288</v>
      </c>
      <c r="W199" t="n">
        <v>69.40000000000001</v>
      </c>
      <c r="X199" t="n">
        <v>4</v>
      </c>
      <c r="Y199" t="n">
        <v>28</v>
      </c>
      <c r="Z199" t="n">
        <v>497</v>
      </c>
      <c r="AA199" t="n">
        <v>28</v>
      </c>
      <c r="AB199" t="n">
        <v>497</v>
      </c>
      <c r="AC199" t="n">
        <v>65</v>
      </c>
      <c r="AD199" t="n">
        <v>1159</v>
      </c>
      <c r="AE199" t="n">
        <v>497</v>
      </c>
      <c r="AF199" t="n">
        <v>1159</v>
      </c>
      <c r="AG199" t="n">
        <v>100</v>
      </c>
      <c r="AH199" t="n">
        <v>11</v>
      </c>
      <c r="AI199" t="n">
        <v>0</v>
      </c>
      <c r="AJ199" t="n">
        <v>129</v>
      </c>
      <c r="AK199" t="inlineStr">
        <is>
          <t>MDS</t>
        </is>
      </c>
      <c r="AL199" t="inlineStr">
        <is>
          <t>None</t>
        </is>
      </c>
      <c r="AM199" t="inlineStr">
        <is>
          <t>None</t>
        </is>
      </c>
      <c r="AN199" t="inlineStr">
        <is>
          <t>Healthy</t>
        </is>
      </c>
      <c r="AO199" t="inlineStr">
        <is>
          <t>C</t>
        </is>
      </c>
      <c r="AP199" t="inlineStr"/>
      <c r="AQ199">
        <f>IF(AM199="P1",100,IF(AM199="P2",67,IF(AM199="P3",33,0)))</f>
        <v/>
      </c>
      <c r="AR199">
        <f>MIN(100,INT(IF(AI199&gt;0,AI199/Z199,AJ199/AD199)*100))</f>
        <v/>
      </c>
      <c r="AS199">
        <f>IF(AI199+AJ199=0,0,INT(100/D199))</f>
        <v/>
      </c>
      <c r="AT199">
        <f>IF(AO199="A",100,IF(AO199="B",67,33))</f>
        <v/>
      </c>
      <c r="AU199">
        <f>ROUND(0.40*AQ199+0.30*AR199+0.20*AS199+0.10*AT199,0)</f>
        <v/>
      </c>
      <c r="AV199" t="inlineStr"/>
    </row>
    <row r="200">
      <c r="A200" t="inlineStr">
        <is>
          <t>BD-24536581-00092</t>
        </is>
      </c>
      <c r="B200" t="inlineStr">
        <is>
          <t>2026-04-17</t>
        </is>
      </c>
      <c r="C200" t="inlineStr">
        <is>
          <t>2026-03-22</t>
        </is>
      </c>
      <c r="D200" t="n">
        <v>7</v>
      </c>
      <c r="E200" t="inlineStr">
        <is>
          <t>SKU_0004</t>
        </is>
      </c>
      <c r="F200" t="inlineStr">
        <is>
          <t>DC2</t>
        </is>
      </c>
      <c r="G200" t="inlineStr">
        <is>
          <t>F1</t>
        </is>
      </c>
      <c r="H200" t="inlineStr">
        <is>
          <t>Los Angeles</t>
        </is>
      </c>
      <c r="I200" t="inlineStr">
        <is>
          <t>West</t>
        </is>
      </c>
      <c r="J200" t="n">
        <v>34.0522</v>
      </c>
      <c r="K200" t="n">
        <v>-118.2437</v>
      </c>
      <c r="L200" t="inlineStr">
        <is>
          <t>DC</t>
        </is>
      </c>
      <c r="M200" t="inlineStr">
        <is>
          <t>Medical Devices &amp; Diagnostics</t>
        </is>
      </c>
      <c r="N200" t="n">
        <v>1288</v>
      </c>
      <c r="O200" t="n">
        <v>145</v>
      </c>
      <c r="P200" t="n">
        <v>0</v>
      </c>
      <c r="Q200" t="n">
        <v>145</v>
      </c>
      <c r="R200" t="n">
        <v>351</v>
      </c>
      <c r="S200" t="n">
        <v>0</v>
      </c>
      <c r="T200" t="n">
        <v>351</v>
      </c>
      <c r="U200" t="n">
        <v>0</v>
      </c>
      <c r="V200" t="n">
        <v>1494</v>
      </c>
      <c r="W200" t="n">
        <v>72.09999999999999</v>
      </c>
      <c r="X200" t="n">
        <v>4</v>
      </c>
      <c r="Y200" t="n">
        <v>28</v>
      </c>
      <c r="Z200" t="n">
        <v>497</v>
      </c>
      <c r="AA200" t="n">
        <v>28</v>
      </c>
      <c r="AB200" t="n">
        <v>497</v>
      </c>
      <c r="AC200" t="n">
        <v>65</v>
      </c>
      <c r="AD200" t="n">
        <v>1159</v>
      </c>
      <c r="AE200" t="n">
        <v>497</v>
      </c>
      <c r="AF200" t="n">
        <v>1159</v>
      </c>
      <c r="AG200" t="n">
        <v>100</v>
      </c>
      <c r="AH200" t="n">
        <v>28</v>
      </c>
      <c r="AI200" t="n">
        <v>0</v>
      </c>
      <c r="AJ200" t="n">
        <v>335</v>
      </c>
      <c r="AK200" t="inlineStr">
        <is>
          <t>MDS</t>
        </is>
      </c>
      <c r="AL200" t="inlineStr">
        <is>
          <t>High ESTN</t>
        </is>
      </c>
      <c r="AM200" t="inlineStr">
        <is>
          <t>P1</t>
        </is>
      </c>
      <c r="AN200" t="inlineStr">
        <is>
          <t>Critical Excess</t>
        </is>
      </c>
      <c r="AO200" t="inlineStr">
        <is>
          <t>C</t>
        </is>
      </c>
      <c r="AP200" t="inlineStr"/>
      <c r="AQ200">
        <f>IF(AM200="P1",100,IF(AM200="P2",67,IF(AM200="P3",33,0)))</f>
        <v/>
      </c>
      <c r="AR200">
        <f>MIN(100,INT(IF(AI200&gt;0,AI200/Z200,AJ200/AD200)*100))</f>
        <v/>
      </c>
      <c r="AS200">
        <f>IF(AI200+AJ200=0,0,INT(100/D200))</f>
        <v/>
      </c>
      <c r="AT200">
        <f>IF(AO200="A",100,IF(AO200="B",67,33))</f>
        <v/>
      </c>
      <c r="AU200">
        <f>ROUND(0.40*AQ200+0.30*AR200+0.20*AS200+0.10*AT200,0)</f>
        <v/>
      </c>
      <c r="AV200" t="inlineStr">
        <is>
          <t>Opening inventory of 1288 and supply of 0 exceed the demand of 145, resulting in a projected surplus of 1494. This inventory levels violates the maximum stock threshold of 1159 units by 335 units, increasing holding risk.</t>
        </is>
      </c>
    </row>
    <row r="201">
      <c r="A201" t="inlineStr">
        <is>
          <t>BD-24536581-00093</t>
        </is>
      </c>
      <c r="B201" t="inlineStr">
        <is>
          <t>2026-04-17</t>
        </is>
      </c>
      <c r="C201" t="inlineStr">
        <is>
          <t>2026-03-29</t>
        </is>
      </c>
      <c r="D201" t="n">
        <v>8</v>
      </c>
      <c r="E201" t="inlineStr">
        <is>
          <t>SKU_0004</t>
        </is>
      </c>
      <c r="F201" t="inlineStr">
        <is>
          <t>DC2</t>
        </is>
      </c>
      <c r="G201" t="inlineStr">
        <is>
          <t>F1</t>
        </is>
      </c>
      <c r="H201" t="inlineStr">
        <is>
          <t>Los Angeles</t>
        </is>
      </c>
      <c r="I201" t="inlineStr">
        <is>
          <t>West</t>
        </is>
      </c>
      <c r="J201" t="n">
        <v>34.0522</v>
      </c>
      <c r="K201" t="n">
        <v>-118.2437</v>
      </c>
      <c r="L201" t="inlineStr">
        <is>
          <t>DC</t>
        </is>
      </c>
      <c r="M201" t="inlineStr">
        <is>
          <t>Medical Devices &amp; Diagnostics</t>
        </is>
      </c>
      <c r="N201" t="n">
        <v>1494</v>
      </c>
      <c r="O201" t="n">
        <v>123</v>
      </c>
      <c r="P201" t="n">
        <v>0</v>
      </c>
      <c r="Q201" t="n">
        <v>123</v>
      </c>
      <c r="R201" t="n">
        <v>0</v>
      </c>
      <c r="S201" t="n">
        <v>294</v>
      </c>
      <c r="T201" t="n">
        <v>294</v>
      </c>
      <c r="U201" t="n">
        <v>0</v>
      </c>
      <c r="V201" t="n">
        <v>1665</v>
      </c>
      <c r="W201" t="n">
        <v>94.8</v>
      </c>
      <c r="X201" t="n">
        <v>4</v>
      </c>
      <c r="Y201" t="n">
        <v>28</v>
      </c>
      <c r="Z201" t="n">
        <v>497</v>
      </c>
      <c r="AA201" t="n">
        <v>28</v>
      </c>
      <c r="AB201" t="n">
        <v>497</v>
      </c>
      <c r="AC201" t="n">
        <v>65</v>
      </c>
      <c r="AD201" t="n">
        <v>1159</v>
      </c>
      <c r="AE201" t="n">
        <v>497</v>
      </c>
      <c r="AF201" t="n">
        <v>1159</v>
      </c>
      <c r="AG201" t="n">
        <v>100</v>
      </c>
      <c r="AH201" t="n">
        <v>43</v>
      </c>
      <c r="AI201" t="n">
        <v>0</v>
      </c>
      <c r="AJ201" t="n">
        <v>506</v>
      </c>
      <c r="AK201" t="inlineStr">
        <is>
          <t>MDS</t>
        </is>
      </c>
      <c r="AL201" t="inlineStr">
        <is>
          <t>High ESTN</t>
        </is>
      </c>
      <c r="AM201" t="inlineStr">
        <is>
          <t>P1</t>
        </is>
      </c>
      <c r="AN201" t="inlineStr">
        <is>
          <t>Critical Excess</t>
        </is>
      </c>
      <c r="AO201" t="inlineStr">
        <is>
          <t>C</t>
        </is>
      </c>
      <c r="AP201" t="inlineStr"/>
      <c r="AQ201">
        <f>IF(AM201="P1",100,IF(AM201="P2",67,IF(AM201="P3",33,0)))</f>
        <v/>
      </c>
      <c r="AR201">
        <f>MIN(100,INT(IF(AI201&gt;0,AI201/Z201,AJ201/AD201)*100))</f>
        <v/>
      </c>
      <c r="AS201">
        <f>IF(AI201+AJ201=0,0,INT(100/D201))</f>
        <v/>
      </c>
      <c r="AT201">
        <f>IF(AO201="A",100,IF(AO201="B",67,33))</f>
        <v/>
      </c>
      <c r="AU201">
        <f>ROUND(0.40*AQ201+0.30*AR201+0.20*AS201+0.10*AT201,0)</f>
        <v/>
      </c>
      <c r="AV201" t="inlineStr">
        <is>
          <t>Opening inventory of 1494 and supply of 294 exceed the demand of 123, resulting in a projected surplus of 1665. This inventory levels violates the maximum stock threshold of 1159 units by 506 units, increasing holding risk.</t>
        </is>
      </c>
    </row>
    <row r="202">
      <c r="A202" t="inlineStr">
        <is>
          <t>BD-24536581-00094</t>
        </is>
      </c>
      <c r="B202" t="inlineStr">
        <is>
          <t>2026-04-17</t>
        </is>
      </c>
      <c r="C202" t="inlineStr">
        <is>
          <t>2026-04-05</t>
        </is>
      </c>
      <c r="D202" t="n">
        <v>9</v>
      </c>
      <c r="E202" t="inlineStr">
        <is>
          <t>SKU_0004</t>
        </is>
      </c>
      <c r="F202" t="inlineStr">
        <is>
          <t>DC2</t>
        </is>
      </c>
      <c r="G202" t="inlineStr">
        <is>
          <t>F1</t>
        </is>
      </c>
      <c r="H202" t="inlineStr">
        <is>
          <t>Los Angeles</t>
        </is>
      </c>
      <c r="I202" t="inlineStr">
        <is>
          <t>West</t>
        </is>
      </c>
      <c r="J202" t="n">
        <v>34.0522</v>
      </c>
      <c r="K202" t="n">
        <v>-118.2437</v>
      </c>
      <c r="L202" t="inlineStr">
        <is>
          <t>DC</t>
        </is>
      </c>
      <c r="M202" t="inlineStr">
        <is>
          <t>Medical Devices &amp; Diagnostics</t>
        </is>
      </c>
      <c r="N202" t="n">
        <v>1665</v>
      </c>
      <c r="O202" t="n">
        <v>150</v>
      </c>
      <c r="P202" t="n">
        <v>0</v>
      </c>
      <c r="Q202" t="n">
        <v>150</v>
      </c>
      <c r="R202" t="n">
        <v>0</v>
      </c>
      <c r="S202" t="n">
        <v>606</v>
      </c>
      <c r="T202" t="n">
        <v>606</v>
      </c>
      <c r="U202" t="n">
        <v>0</v>
      </c>
      <c r="V202" t="n">
        <v>2121</v>
      </c>
      <c r="W202" t="n">
        <v>99</v>
      </c>
      <c r="X202" t="n">
        <v>4</v>
      </c>
      <c r="Y202" t="n">
        <v>28</v>
      </c>
      <c r="Z202" t="n">
        <v>497</v>
      </c>
      <c r="AA202" t="n">
        <v>28</v>
      </c>
      <c r="AB202" t="n">
        <v>497</v>
      </c>
      <c r="AC202" t="n">
        <v>65</v>
      </c>
      <c r="AD202" t="n">
        <v>1159</v>
      </c>
      <c r="AE202" t="n">
        <v>497</v>
      </c>
      <c r="AF202" t="n">
        <v>1159</v>
      </c>
      <c r="AG202" t="n">
        <v>100</v>
      </c>
      <c r="AH202" t="n">
        <v>83</v>
      </c>
      <c r="AI202" t="n">
        <v>0</v>
      </c>
      <c r="AJ202" t="n">
        <v>962</v>
      </c>
      <c r="AK202" t="inlineStr">
        <is>
          <t>MDS</t>
        </is>
      </c>
      <c r="AL202" t="inlineStr">
        <is>
          <t>High ESTN</t>
        </is>
      </c>
      <c r="AM202" t="inlineStr">
        <is>
          <t>P1</t>
        </is>
      </c>
      <c r="AN202" t="inlineStr">
        <is>
          <t>Critical Excess</t>
        </is>
      </c>
      <c r="AO202" t="inlineStr">
        <is>
          <t>C</t>
        </is>
      </c>
      <c r="AP202" t="inlineStr"/>
      <c r="AQ202">
        <f>IF(AM202="P1",100,IF(AM202="P2",67,IF(AM202="P3",33,0)))</f>
        <v/>
      </c>
      <c r="AR202">
        <f>MIN(100,INT(IF(AI202&gt;0,AI202/Z202,AJ202/AD202)*100))</f>
        <v/>
      </c>
      <c r="AS202">
        <f>IF(AI202+AJ202=0,0,INT(100/D202))</f>
        <v/>
      </c>
      <c r="AT202">
        <f>IF(AO202="A",100,IF(AO202="B",67,33))</f>
        <v/>
      </c>
      <c r="AU202">
        <f>ROUND(0.40*AQ202+0.30*AR202+0.20*AS202+0.10*AT202,0)</f>
        <v/>
      </c>
      <c r="AV202" t="inlineStr">
        <is>
          <t>Opening inventory of 1665 and supply of 606 exceed the demand of 150, resulting in a projected surplus of 2121. This inventory levels violates the maximum stock threshold of 1159 units by 962 units, increasing holding risk.</t>
        </is>
      </c>
    </row>
    <row r="203">
      <c r="A203" t="inlineStr">
        <is>
          <t>BD-24536581-00095</t>
        </is>
      </c>
      <c r="B203" t="inlineStr">
        <is>
          <t>2026-04-17</t>
        </is>
      </c>
      <c r="C203" t="inlineStr">
        <is>
          <t>2026-04-12</t>
        </is>
      </c>
      <c r="D203" t="n">
        <v>10</v>
      </c>
      <c r="E203" t="inlineStr">
        <is>
          <t>SKU_0004</t>
        </is>
      </c>
      <c r="F203" t="inlineStr">
        <is>
          <t>DC2</t>
        </is>
      </c>
      <c r="G203" t="inlineStr">
        <is>
          <t>F1</t>
        </is>
      </c>
      <c r="H203" t="inlineStr">
        <is>
          <t>Los Angeles</t>
        </is>
      </c>
      <c r="I203" t="inlineStr">
        <is>
          <t>West</t>
        </is>
      </c>
      <c r="J203" t="n">
        <v>34.0522</v>
      </c>
      <c r="K203" t="n">
        <v>-118.2437</v>
      </c>
      <c r="L203" t="inlineStr">
        <is>
          <t>DC</t>
        </is>
      </c>
      <c r="M203" t="inlineStr">
        <is>
          <t>Medical Devices &amp; Diagnostics</t>
        </is>
      </c>
      <c r="N203" t="n">
        <v>2121</v>
      </c>
      <c r="O203" t="n">
        <v>106</v>
      </c>
      <c r="P203" t="n">
        <v>0</v>
      </c>
      <c r="Q203" t="n">
        <v>106</v>
      </c>
      <c r="R203" t="n">
        <v>0</v>
      </c>
      <c r="S203" t="n">
        <v>282</v>
      </c>
      <c r="T203" t="n">
        <v>282</v>
      </c>
      <c r="U203" t="n">
        <v>0</v>
      </c>
      <c r="V203" t="n">
        <v>2297</v>
      </c>
      <c r="W203" t="n">
        <v>151.7</v>
      </c>
      <c r="X203" t="n">
        <v>4</v>
      </c>
      <c r="Y203" t="n">
        <v>28</v>
      </c>
      <c r="Z203" t="n">
        <v>497</v>
      </c>
      <c r="AA203" t="n">
        <v>28</v>
      </c>
      <c r="AB203" t="n">
        <v>497</v>
      </c>
      <c r="AC203" t="n">
        <v>65</v>
      </c>
      <c r="AD203" t="n">
        <v>1159</v>
      </c>
      <c r="AE203" t="n">
        <v>497</v>
      </c>
      <c r="AF203" t="n">
        <v>1159</v>
      </c>
      <c r="AG203" t="n">
        <v>100</v>
      </c>
      <c r="AH203" t="n">
        <v>98</v>
      </c>
      <c r="AI203" t="n">
        <v>0</v>
      </c>
      <c r="AJ203" t="n">
        <v>1138</v>
      </c>
      <c r="AK203" t="inlineStr">
        <is>
          <t>MDS</t>
        </is>
      </c>
      <c r="AL203" t="inlineStr">
        <is>
          <t>High ESTN</t>
        </is>
      </c>
      <c r="AM203" t="inlineStr">
        <is>
          <t>P1</t>
        </is>
      </c>
      <c r="AN203" t="inlineStr">
        <is>
          <t>Critical Excess</t>
        </is>
      </c>
      <c r="AO203" t="inlineStr">
        <is>
          <t>C</t>
        </is>
      </c>
      <c r="AP203" t="inlineStr"/>
      <c r="AQ203">
        <f>IF(AM203="P1",100,IF(AM203="P2",67,IF(AM203="P3",33,0)))</f>
        <v/>
      </c>
      <c r="AR203">
        <f>MIN(100,INT(IF(AI203&gt;0,AI203/Z203,AJ203/AD203)*100))</f>
        <v/>
      </c>
      <c r="AS203">
        <f>IF(AI203+AJ203=0,0,INT(100/D203))</f>
        <v/>
      </c>
      <c r="AT203">
        <f>IF(AO203="A",100,IF(AO203="B",67,33))</f>
        <v/>
      </c>
      <c r="AU203">
        <f>ROUND(0.40*AQ203+0.30*AR203+0.20*AS203+0.10*AT203,0)</f>
        <v/>
      </c>
      <c r="AV203" t="inlineStr">
        <is>
          <t>Opening inventory of 2121 and supply of 282 exceed the demand of 106, resulting in a projected surplus of 2297. This inventory levels violates the maximum stock threshold of 1159 units by 1138 units, increasing holding risk.</t>
        </is>
      </c>
    </row>
    <row r="204">
      <c r="A204" t="inlineStr">
        <is>
          <t>BD-24536581-00096</t>
        </is>
      </c>
      <c r="B204" t="inlineStr">
        <is>
          <t>2026-04-17</t>
        </is>
      </c>
      <c r="C204" t="inlineStr">
        <is>
          <t>2026-04-19</t>
        </is>
      </c>
      <c r="D204" t="n">
        <v>11</v>
      </c>
      <c r="E204" t="inlineStr">
        <is>
          <t>SKU_0004</t>
        </is>
      </c>
      <c r="F204" t="inlineStr">
        <is>
          <t>DC2</t>
        </is>
      </c>
      <c r="G204" t="inlineStr">
        <is>
          <t>F1</t>
        </is>
      </c>
      <c r="H204" t="inlineStr">
        <is>
          <t>Los Angeles</t>
        </is>
      </c>
      <c r="I204" t="inlineStr">
        <is>
          <t>West</t>
        </is>
      </c>
      <c r="J204" t="n">
        <v>34.0522</v>
      </c>
      <c r="K204" t="n">
        <v>-118.2437</v>
      </c>
      <c r="L204" t="inlineStr">
        <is>
          <t>DC</t>
        </is>
      </c>
      <c r="M204" t="inlineStr">
        <is>
          <t>Medical Devices &amp; Diagnostics</t>
        </is>
      </c>
      <c r="N204" t="n">
        <v>2297</v>
      </c>
      <c r="O204" t="n">
        <v>123</v>
      </c>
      <c r="P204" t="n">
        <v>0</v>
      </c>
      <c r="Q204" t="n">
        <v>123</v>
      </c>
      <c r="R204" t="n">
        <v>0</v>
      </c>
      <c r="S204" t="n">
        <v>0</v>
      </c>
      <c r="T204" t="n">
        <v>0</v>
      </c>
      <c r="U204" t="n">
        <v>0</v>
      </c>
      <c r="V204" t="n">
        <v>2174</v>
      </c>
      <c r="W204" t="n">
        <v>123.7</v>
      </c>
      <c r="X204" t="n">
        <v>4</v>
      </c>
      <c r="Y204" t="n">
        <v>28</v>
      </c>
      <c r="Z204" t="n">
        <v>497</v>
      </c>
      <c r="AA204" t="n">
        <v>28</v>
      </c>
      <c r="AB204" t="n">
        <v>497</v>
      </c>
      <c r="AC204" t="n">
        <v>65</v>
      </c>
      <c r="AD204" t="n">
        <v>1159</v>
      </c>
      <c r="AE204" t="n">
        <v>497</v>
      </c>
      <c r="AF204" t="n">
        <v>1159</v>
      </c>
      <c r="AG204" t="n">
        <v>100</v>
      </c>
      <c r="AH204" t="n">
        <v>87</v>
      </c>
      <c r="AI204" t="n">
        <v>0</v>
      </c>
      <c r="AJ204" t="n">
        <v>1015</v>
      </c>
      <c r="AK204" t="inlineStr">
        <is>
          <t>MDS</t>
        </is>
      </c>
      <c r="AL204" t="inlineStr">
        <is>
          <t>High ESTN</t>
        </is>
      </c>
      <c r="AM204" t="inlineStr">
        <is>
          <t>P1</t>
        </is>
      </c>
      <c r="AN204" t="inlineStr">
        <is>
          <t>Critical Excess</t>
        </is>
      </c>
      <c r="AO204" t="inlineStr">
        <is>
          <t>C</t>
        </is>
      </c>
      <c r="AP204" t="inlineStr"/>
      <c r="AQ204">
        <f>IF(AM204="P1",100,IF(AM204="P2",67,IF(AM204="P3",33,0)))</f>
        <v/>
      </c>
      <c r="AR204">
        <f>MIN(100,INT(IF(AI204&gt;0,AI204/Z204,AJ204/AD204)*100))</f>
        <v/>
      </c>
      <c r="AS204">
        <f>IF(AI204+AJ204=0,0,INT(100/D204))</f>
        <v/>
      </c>
      <c r="AT204">
        <f>IF(AO204="A",100,IF(AO204="B",67,33))</f>
        <v/>
      </c>
      <c r="AU204">
        <f>ROUND(0.40*AQ204+0.30*AR204+0.20*AS204+0.10*AT204,0)</f>
        <v/>
      </c>
      <c r="AV204" t="inlineStr">
        <is>
          <t>Opening inventory of 2297 and supply of 0 exceed the demand of 123, resulting in a projected surplus of 2174. This inventory levels violates the maximum stock threshold of 1159 units by 1015 units, increasing holding risk.</t>
        </is>
      </c>
    </row>
    <row r="205">
      <c r="A205" t="inlineStr">
        <is>
          <t>BD-24536581-00097</t>
        </is>
      </c>
      <c r="B205" t="inlineStr">
        <is>
          <t>2026-04-17</t>
        </is>
      </c>
      <c r="C205" t="inlineStr">
        <is>
          <t>2026-04-26</t>
        </is>
      </c>
      <c r="D205" t="n">
        <v>12</v>
      </c>
      <c r="E205" t="inlineStr">
        <is>
          <t>SKU_0004</t>
        </is>
      </c>
      <c r="F205" t="inlineStr">
        <is>
          <t>DC2</t>
        </is>
      </c>
      <c r="G205" t="inlineStr">
        <is>
          <t>F1</t>
        </is>
      </c>
      <c r="H205" t="inlineStr">
        <is>
          <t>Los Angeles</t>
        </is>
      </c>
      <c r="I205" t="inlineStr">
        <is>
          <t>West</t>
        </is>
      </c>
      <c r="J205" t="n">
        <v>34.0522</v>
      </c>
      <c r="K205" t="n">
        <v>-118.2437</v>
      </c>
      <c r="L205" t="inlineStr">
        <is>
          <t>DC</t>
        </is>
      </c>
      <c r="M205" t="inlineStr">
        <is>
          <t>Medical Devices &amp; Diagnostics</t>
        </is>
      </c>
      <c r="N205" t="n">
        <v>2174</v>
      </c>
      <c r="O205" t="n">
        <v>134</v>
      </c>
      <c r="P205" t="n">
        <v>0</v>
      </c>
      <c r="Q205" t="n">
        <v>134</v>
      </c>
      <c r="R205" t="n">
        <v>198</v>
      </c>
      <c r="S205" t="n">
        <v>0</v>
      </c>
      <c r="T205" t="n">
        <v>198</v>
      </c>
      <c r="U205" t="n">
        <v>0</v>
      </c>
      <c r="V205" t="n">
        <v>2238</v>
      </c>
      <c r="W205" t="n">
        <v>116.9</v>
      </c>
      <c r="X205" t="n">
        <v>4</v>
      </c>
      <c r="Y205" t="n">
        <v>28</v>
      </c>
      <c r="Z205" t="n">
        <v>497</v>
      </c>
      <c r="AA205" t="n">
        <v>28</v>
      </c>
      <c r="AB205" t="n">
        <v>497</v>
      </c>
      <c r="AC205" t="n">
        <v>65</v>
      </c>
      <c r="AD205" t="n">
        <v>1159</v>
      </c>
      <c r="AE205" t="n">
        <v>497</v>
      </c>
      <c r="AF205" t="n">
        <v>1159</v>
      </c>
      <c r="AG205" t="n">
        <v>100</v>
      </c>
      <c r="AH205" t="n">
        <v>93</v>
      </c>
      <c r="AI205" t="n">
        <v>0</v>
      </c>
      <c r="AJ205" t="n">
        <v>1079</v>
      </c>
      <c r="AK205" t="inlineStr">
        <is>
          <t>MDS</t>
        </is>
      </c>
      <c r="AL205" t="inlineStr">
        <is>
          <t>High ESTN</t>
        </is>
      </c>
      <c r="AM205" t="inlineStr">
        <is>
          <t>P1</t>
        </is>
      </c>
      <c r="AN205" t="inlineStr">
        <is>
          <t>Critical Excess</t>
        </is>
      </c>
      <c r="AO205" t="inlineStr">
        <is>
          <t>C</t>
        </is>
      </c>
      <c r="AP205" t="inlineStr"/>
      <c r="AQ205">
        <f>IF(AM205="P1",100,IF(AM205="P2",67,IF(AM205="P3",33,0)))</f>
        <v/>
      </c>
      <c r="AR205">
        <f>MIN(100,INT(IF(AI205&gt;0,AI205/Z205,AJ205/AD205)*100))</f>
        <v/>
      </c>
      <c r="AS205">
        <f>IF(AI205+AJ205=0,0,INT(100/D205))</f>
        <v/>
      </c>
      <c r="AT205">
        <f>IF(AO205="A",100,IF(AO205="B",67,33))</f>
        <v/>
      </c>
      <c r="AU205">
        <f>ROUND(0.40*AQ205+0.30*AR205+0.20*AS205+0.10*AT205,0)</f>
        <v/>
      </c>
      <c r="AV205" t="inlineStr">
        <is>
          <t>Opening inventory of 2174 and supply of 0 exceed the demand of 134, resulting in a projected surplus of 2238. This inventory levels violates the maximum stock threshold of 1159 units by 1079 units, increasing holding risk.</t>
        </is>
      </c>
    </row>
    <row r="206">
      <c r="A206" t="inlineStr">
        <is>
          <t>BD-24536581-00098</t>
        </is>
      </c>
      <c r="B206" t="inlineStr">
        <is>
          <t>2026-04-17</t>
        </is>
      </c>
      <c r="C206" t="inlineStr">
        <is>
          <t>2026-02-08</t>
        </is>
      </c>
      <c r="D206" t="n">
        <v>1</v>
      </c>
      <c r="E206" t="inlineStr">
        <is>
          <t>SKU_0004</t>
        </is>
      </c>
      <c r="F206" t="inlineStr">
        <is>
          <t>DC4</t>
        </is>
      </c>
      <c r="G206" t="inlineStr">
        <is>
          <t>F1</t>
        </is>
      </c>
      <c r="H206" t="inlineStr">
        <is>
          <t>Seattle</t>
        </is>
      </c>
      <c r="I206" t="inlineStr">
        <is>
          <t>Northwest</t>
        </is>
      </c>
      <c r="J206" t="n">
        <v>47.6062</v>
      </c>
      <c r="K206" t="n">
        <v>-122.3321</v>
      </c>
      <c r="L206" t="inlineStr">
        <is>
          <t>DC</t>
        </is>
      </c>
      <c r="M206" t="inlineStr">
        <is>
          <t>Medical Devices &amp; Diagnostics</t>
        </is>
      </c>
      <c r="N206" t="n">
        <v>321</v>
      </c>
      <c r="O206" t="n">
        <v>115</v>
      </c>
      <c r="P206" t="n">
        <v>0</v>
      </c>
      <c r="Q206" t="n">
        <v>115</v>
      </c>
      <c r="R206" t="n">
        <v>0</v>
      </c>
      <c r="S206" t="n">
        <v>0</v>
      </c>
      <c r="T206" t="n">
        <v>0</v>
      </c>
      <c r="U206" t="n">
        <v>0</v>
      </c>
      <c r="V206" t="n">
        <v>206</v>
      </c>
      <c r="W206" t="n">
        <v>12.5</v>
      </c>
      <c r="X206" t="n">
        <v>3</v>
      </c>
      <c r="Y206" t="n">
        <v>28</v>
      </c>
      <c r="Z206" t="n">
        <v>460</v>
      </c>
      <c r="AA206" t="n">
        <v>21</v>
      </c>
      <c r="AB206" t="n">
        <v>345</v>
      </c>
      <c r="AC206" t="n">
        <v>98</v>
      </c>
      <c r="AD206" t="n">
        <v>1604</v>
      </c>
      <c r="AE206" t="n">
        <v>460</v>
      </c>
      <c r="AF206" t="n">
        <v>1604</v>
      </c>
      <c r="AG206" t="n">
        <v>44</v>
      </c>
      <c r="AH206" t="n">
        <v>0</v>
      </c>
      <c r="AI206" t="n">
        <v>254</v>
      </c>
      <c r="AJ206" t="n">
        <v>0</v>
      </c>
      <c r="AK206" t="inlineStr">
        <is>
          <t>MDS</t>
        </is>
      </c>
      <c r="AL206" t="inlineStr">
        <is>
          <t>High MSTN</t>
        </is>
      </c>
      <c r="AM206" t="inlineStr">
        <is>
          <t>P1</t>
        </is>
      </c>
      <c r="AN206" t="inlineStr">
        <is>
          <t>Critical Stockout</t>
        </is>
      </c>
      <c r="AO206" t="inlineStr">
        <is>
          <t>C</t>
        </is>
      </c>
      <c r="AP206" t="inlineStr"/>
      <c r="AQ206">
        <f>IF(AM206="P1",100,IF(AM206="P2",67,IF(AM206="P3",33,0)))</f>
        <v/>
      </c>
      <c r="AR206">
        <f>MIN(100,INT(IF(AI206&gt;0,AI206/Z206,AJ206/AD206)*100))</f>
        <v/>
      </c>
      <c r="AS206">
        <f>IF(AI206+AJ206=0,0,INT(100/D206))</f>
        <v/>
      </c>
      <c r="AT206">
        <f>IF(AO206="A",100,IF(AO206="B",67,33))</f>
        <v/>
      </c>
      <c r="AU206">
        <f>ROUND(0.40*AQ206+0.30*AR206+0.20*AS206+0.10*AT206,0)</f>
        <v/>
      </c>
      <c r="AV206" t="inlineStr">
        <is>
          <t>Opening inventory of 321 and supply of 0 are sufficient to cover the demand of 115. However, the projected closing inventory of 206 falls 254 units below the target safety stock requirement of 460, compromising the critical service level buffer.</t>
        </is>
      </c>
    </row>
    <row r="207">
      <c r="A207" t="inlineStr">
        <is>
          <t>BD-24536581-00099</t>
        </is>
      </c>
      <c r="B207" t="inlineStr">
        <is>
          <t>2026-04-17</t>
        </is>
      </c>
      <c r="C207" t="inlineStr">
        <is>
          <t>2026-02-15</t>
        </is>
      </c>
      <c r="D207" t="n">
        <v>2</v>
      </c>
      <c r="E207" t="inlineStr">
        <is>
          <t>SKU_0004</t>
        </is>
      </c>
      <c r="F207" t="inlineStr">
        <is>
          <t>DC4</t>
        </is>
      </c>
      <c r="G207" t="inlineStr">
        <is>
          <t>F1</t>
        </is>
      </c>
      <c r="H207" t="inlineStr">
        <is>
          <t>Seattle</t>
        </is>
      </c>
      <c r="I207" t="inlineStr">
        <is>
          <t>Northwest</t>
        </is>
      </c>
      <c r="J207" t="n">
        <v>47.6062</v>
      </c>
      <c r="K207" t="n">
        <v>-122.3321</v>
      </c>
      <c r="L207" t="inlineStr">
        <is>
          <t>DC</t>
        </is>
      </c>
      <c r="M207" t="inlineStr">
        <is>
          <t>Medical Devices &amp; Diagnostics</t>
        </is>
      </c>
      <c r="N207" t="n">
        <v>206</v>
      </c>
      <c r="O207" t="n">
        <v>116</v>
      </c>
      <c r="P207" t="n">
        <v>0</v>
      </c>
      <c r="Q207" t="n">
        <v>116</v>
      </c>
      <c r="R207" t="n">
        <v>208</v>
      </c>
      <c r="S207" t="n">
        <v>0</v>
      </c>
      <c r="T207" t="n">
        <v>208</v>
      </c>
      <c r="U207" t="n">
        <v>0</v>
      </c>
      <c r="V207" t="n">
        <v>298</v>
      </c>
      <c r="W207" t="n">
        <v>18</v>
      </c>
      <c r="X207" t="n">
        <v>3</v>
      </c>
      <c r="Y207" t="n">
        <v>28</v>
      </c>
      <c r="Z207" t="n">
        <v>460</v>
      </c>
      <c r="AA207" t="n">
        <v>21</v>
      </c>
      <c r="AB207" t="n">
        <v>345</v>
      </c>
      <c r="AC207" t="n">
        <v>98</v>
      </c>
      <c r="AD207" t="n">
        <v>1604</v>
      </c>
      <c r="AE207" t="n">
        <v>460</v>
      </c>
      <c r="AF207" t="n">
        <v>1604</v>
      </c>
      <c r="AG207" t="n">
        <v>64</v>
      </c>
      <c r="AH207" t="n">
        <v>0</v>
      </c>
      <c r="AI207" t="n">
        <v>162</v>
      </c>
      <c r="AJ207" t="n">
        <v>0</v>
      </c>
      <c r="AK207" t="inlineStr">
        <is>
          <t>MDS</t>
        </is>
      </c>
      <c r="AL207" t="inlineStr">
        <is>
          <t>High MSTN</t>
        </is>
      </c>
      <c r="AM207" t="inlineStr">
        <is>
          <t>P1</t>
        </is>
      </c>
      <c r="AN207" t="inlineStr">
        <is>
          <t>Critical Stockout</t>
        </is>
      </c>
      <c r="AO207" t="inlineStr">
        <is>
          <t>C</t>
        </is>
      </c>
      <c r="AP207" t="inlineStr"/>
      <c r="AQ207">
        <f>IF(AM207="P1",100,IF(AM207="P2",67,IF(AM207="P3",33,0)))</f>
        <v/>
      </c>
      <c r="AR207">
        <f>MIN(100,INT(IF(AI207&gt;0,AI207/Z207,AJ207/AD207)*100))</f>
        <v/>
      </c>
      <c r="AS207">
        <f>IF(AI207+AJ207=0,0,INT(100/D207))</f>
        <v/>
      </c>
      <c r="AT207">
        <f>IF(AO207="A",100,IF(AO207="B",67,33))</f>
        <v/>
      </c>
      <c r="AU207">
        <f>ROUND(0.40*AQ207+0.30*AR207+0.20*AS207+0.10*AT207,0)</f>
        <v/>
      </c>
      <c r="AV207" t="inlineStr">
        <is>
          <t>Opening inventory of 206 and supply of 0 are sufficient to cover the demand of 116. However, the projected closing inventory of 298 falls 162 units below the target safety stock requirement of 460, compromising the critical service level buffer.</t>
        </is>
      </c>
    </row>
    <row r="208">
      <c r="A208" t="inlineStr">
        <is>
          <t>BD-24536581-00100</t>
        </is>
      </c>
      <c r="B208" t="inlineStr">
        <is>
          <t>2026-04-17</t>
        </is>
      </c>
      <c r="C208" t="inlineStr">
        <is>
          <t>2026-02-22</t>
        </is>
      </c>
      <c r="D208" t="n">
        <v>3</v>
      </c>
      <c r="E208" t="inlineStr">
        <is>
          <t>SKU_0004</t>
        </is>
      </c>
      <c r="F208" t="inlineStr">
        <is>
          <t>DC4</t>
        </is>
      </c>
      <c r="G208" t="inlineStr">
        <is>
          <t>F1</t>
        </is>
      </c>
      <c r="H208" t="inlineStr">
        <is>
          <t>Seattle</t>
        </is>
      </c>
      <c r="I208" t="inlineStr">
        <is>
          <t>Northwest</t>
        </is>
      </c>
      <c r="J208" t="n">
        <v>47.6062</v>
      </c>
      <c r="K208" t="n">
        <v>-122.3321</v>
      </c>
      <c r="L208" t="inlineStr">
        <is>
          <t>DC</t>
        </is>
      </c>
      <c r="M208" t="inlineStr">
        <is>
          <t>Medical Devices &amp; Diagnostics</t>
        </is>
      </c>
      <c r="N208" t="n">
        <v>298</v>
      </c>
      <c r="O208" t="n">
        <v>101</v>
      </c>
      <c r="P208" t="n">
        <v>0</v>
      </c>
      <c r="Q208" t="n">
        <v>101</v>
      </c>
      <c r="R208" t="n">
        <v>0</v>
      </c>
      <c r="S208" t="n">
        <v>0</v>
      </c>
      <c r="T208" t="n">
        <v>0</v>
      </c>
      <c r="U208" t="n">
        <v>0</v>
      </c>
      <c r="V208" t="n">
        <v>197</v>
      </c>
      <c r="W208" t="n">
        <v>13.7</v>
      </c>
      <c r="X208" t="n">
        <v>3</v>
      </c>
      <c r="Y208" t="n">
        <v>28</v>
      </c>
      <c r="Z208" t="n">
        <v>460</v>
      </c>
      <c r="AA208" t="n">
        <v>21</v>
      </c>
      <c r="AB208" t="n">
        <v>345</v>
      </c>
      <c r="AC208" t="n">
        <v>98</v>
      </c>
      <c r="AD208" t="n">
        <v>1604</v>
      </c>
      <c r="AE208" t="n">
        <v>460</v>
      </c>
      <c r="AF208" t="n">
        <v>1604</v>
      </c>
      <c r="AG208" t="n">
        <v>42</v>
      </c>
      <c r="AH208" t="n">
        <v>0</v>
      </c>
      <c r="AI208" t="n">
        <v>263</v>
      </c>
      <c r="AJ208" t="n">
        <v>0</v>
      </c>
      <c r="AK208" t="inlineStr">
        <is>
          <t>MDS</t>
        </is>
      </c>
      <c r="AL208" t="inlineStr">
        <is>
          <t>High MSTN</t>
        </is>
      </c>
      <c r="AM208" t="inlineStr">
        <is>
          <t>P1</t>
        </is>
      </c>
      <c r="AN208" t="inlineStr">
        <is>
          <t>Critical Stockout</t>
        </is>
      </c>
      <c r="AO208" t="inlineStr">
        <is>
          <t>C</t>
        </is>
      </c>
      <c r="AP208" t="inlineStr"/>
      <c r="AQ208">
        <f>IF(AM208="P1",100,IF(AM208="P2",67,IF(AM208="P3",33,0)))</f>
        <v/>
      </c>
      <c r="AR208">
        <f>MIN(100,INT(IF(AI208&gt;0,AI208/Z208,AJ208/AD208)*100))</f>
        <v/>
      </c>
      <c r="AS208">
        <f>IF(AI208+AJ208=0,0,INT(100/D208))</f>
        <v/>
      </c>
      <c r="AT208">
        <f>IF(AO208="A",100,IF(AO208="B",67,33))</f>
        <v/>
      </c>
      <c r="AU208">
        <f>ROUND(0.40*AQ208+0.30*AR208+0.20*AS208+0.10*AT208,0)</f>
        <v/>
      </c>
      <c r="AV208" t="inlineStr">
        <is>
          <t>Opening inventory of 298 and supply of 0 are sufficient to cover the demand of 101. However, the projected closing inventory of 197 falls 263 units below the target safety stock requirement of 460, compromising the critical service level buffer.</t>
        </is>
      </c>
    </row>
    <row r="209">
      <c r="A209" t="inlineStr">
        <is>
          <t>BD-24536581-00101</t>
        </is>
      </c>
      <c r="B209" t="inlineStr">
        <is>
          <t>2026-04-17</t>
        </is>
      </c>
      <c r="C209" t="inlineStr">
        <is>
          <t>2026-03-01</t>
        </is>
      </c>
      <c r="D209" t="n">
        <v>4</v>
      </c>
      <c r="E209" t="inlineStr">
        <is>
          <t>SKU_0004</t>
        </is>
      </c>
      <c r="F209" t="inlineStr">
        <is>
          <t>DC4</t>
        </is>
      </c>
      <c r="G209" t="inlineStr">
        <is>
          <t>F1</t>
        </is>
      </c>
      <c r="H209" t="inlineStr">
        <is>
          <t>Seattle</t>
        </is>
      </c>
      <c r="I209" t="inlineStr">
        <is>
          <t>Northwest</t>
        </is>
      </c>
      <c r="J209" t="n">
        <v>47.6062</v>
      </c>
      <c r="K209" t="n">
        <v>-122.3321</v>
      </c>
      <c r="L209" t="inlineStr">
        <is>
          <t>DC</t>
        </is>
      </c>
      <c r="M209" t="inlineStr">
        <is>
          <t>Medical Devices &amp; Diagnostics</t>
        </is>
      </c>
      <c r="N209" t="n">
        <v>197</v>
      </c>
      <c r="O209" t="n">
        <v>109</v>
      </c>
      <c r="P209" t="n">
        <v>0</v>
      </c>
      <c r="Q209" t="n">
        <v>109</v>
      </c>
      <c r="R209" t="n">
        <v>316</v>
      </c>
      <c r="S209" t="n">
        <v>0</v>
      </c>
      <c r="T209" t="n">
        <v>316</v>
      </c>
      <c r="U209" t="n">
        <v>0</v>
      </c>
      <c r="V209" t="n">
        <v>404</v>
      </c>
      <c r="W209" t="n">
        <v>25.9</v>
      </c>
      <c r="X209" t="n">
        <v>3</v>
      </c>
      <c r="Y209" t="n">
        <v>28</v>
      </c>
      <c r="Z209" t="n">
        <v>460</v>
      </c>
      <c r="AA209" t="n">
        <v>21</v>
      </c>
      <c r="AB209" t="n">
        <v>345</v>
      </c>
      <c r="AC209" t="n">
        <v>98</v>
      </c>
      <c r="AD209" t="n">
        <v>1604</v>
      </c>
      <c r="AE209" t="n">
        <v>460</v>
      </c>
      <c r="AF209" t="n">
        <v>1604</v>
      </c>
      <c r="AG209" t="n">
        <v>87</v>
      </c>
      <c r="AH209" t="n">
        <v>0</v>
      </c>
      <c r="AI209" t="n">
        <v>56</v>
      </c>
      <c r="AJ209" t="n">
        <v>0</v>
      </c>
      <c r="AK209" t="inlineStr">
        <is>
          <t>MDS</t>
        </is>
      </c>
      <c r="AL209" t="inlineStr">
        <is>
          <t>Medium MSTN</t>
        </is>
      </c>
      <c r="AM209" t="inlineStr">
        <is>
          <t>P3</t>
        </is>
      </c>
      <c r="AN209" t="inlineStr">
        <is>
          <t>Potential Stockout</t>
        </is>
      </c>
      <c r="AO209" t="inlineStr">
        <is>
          <t>C</t>
        </is>
      </c>
      <c r="AP209" t="inlineStr"/>
      <c r="AQ209">
        <f>IF(AM209="P1",100,IF(AM209="P2",67,IF(AM209="P3",33,0)))</f>
        <v/>
      </c>
      <c r="AR209">
        <f>MIN(100,INT(IF(AI209&gt;0,AI209/Z209,AJ209/AD209)*100))</f>
        <v/>
      </c>
      <c r="AS209">
        <f>IF(AI209+AJ209=0,0,INT(100/D209))</f>
        <v/>
      </c>
      <c r="AT209">
        <f>IF(AO209="A",100,IF(AO209="B",67,33))</f>
        <v/>
      </c>
      <c r="AU209">
        <f>ROUND(0.40*AQ209+0.30*AR209+0.20*AS209+0.10*AT209,0)</f>
        <v/>
      </c>
      <c r="AV209" t="inlineStr">
        <is>
          <t>Opening inventory of 197 and supply of 0 are sufficient to cover the demand of 109. However, the projected closing inventory of 404 falls 56 units below the target safety stock requirement of 460, compromising the critical service level buffer.</t>
        </is>
      </c>
    </row>
    <row r="210">
      <c r="A210" t="inlineStr">
        <is>
          <t>BD-24536581-00102</t>
        </is>
      </c>
      <c r="B210" t="inlineStr">
        <is>
          <t>2026-04-17</t>
        </is>
      </c>
      <c r="C210" t="inlineStr">
        <is>
          <t>2026-03-08</t>
        </is>
      </c>
      <c r="D210" t="n">
        <v>5</v>
      </c>
      <c r="E210" t="inlineStr">
        <is>
          <t>SKU_0004</t>
        </is>
      </c>
      <c r="F210" t="inlineStr">
        <is>
          <t>DC4</t>
        </is>
      </c>
      <c r="G210" t="inlineStr">
        <is>
          <t>F1</t>
        </is>
      </c>
      <c r="H210" t="inlineStr">
        <is>
          <t>Seattle</t>
        </is>
      </c>
      <c r="I210" t="inlineStr">
        <is>
          <t>Northwest</t>
        </is>
      </c>
      <c r="J210" t="n">
        <v>47.6062</v>
      </c>
      <c r="K210" t="n">
        <v>-122.3321</v>
      </c>
      <c r="L210" t="inlineStr">
        <is>
          <t>DC</t>
        </is>
      </c>
      <c r="M210" t="inlineStr">
        <is>
          <t>Medical Devices &amp; Diagnostics</t>
        </is>
      </c>
      <c r="N210" t="n">
        <v>404</v>
      </c>
      <c r="O210" t="n">
        <v>146</v>
      </c>
      <c r="P210" t="n">
        <v>0</v>
      </c>
      <c r="Q210" t="n">
        <v>146</v>
      </c>
      <c r="R210" t="n">
        <v>0</v>
      </c>
      <c r="S210" t="n">
        <v>0</v>
      </c>
      <c r="T210" t="n">
        <v>0</v>
      </c>
      <c r="U210" t="n">
        <v>0</v>
      </c>
      <c r="V210" t="n">
        <v>258</v>
      </c>
      <c r="W210" t="n">
        <v>12.4</v>
      </c>
      <c r="X210" t="n">
        <v>3</v>
      </c>
      <c r="Y210" t="n">
        <v>28</v>
      </c>
      <c r="Z210" t="n">
        <v>460</v>
      </c>
      <c r="AA210" t="n">
        <v>21</v>
      </c>
      <c r="AB210" t="n">
        <v>345</v>
      </c>
      <c r="AC210" t="n">
        <v>98</v>
      </c>
      <c r="AD210" t="n">
        <v>1604</v>
      </c>
      <c r="AE210" t="n">
        <v>460</v>
      </c>
      <c r="AF210" t="n">
        <v>1604</v>
      </c>
      <c r="AG210" t="n">
        <v>56</v>
      </c>
      <c r="AH210" t="n">
        <v>0</v>
      </c>
      <c r="AI210" t="n">
        <v>202</v>
      </c>
      <c r="AJ210" t="n">
        <v>0</v>
      </c>
      <c r="AK210" t="inlineStr">
        <is>
          <t>MDS</t>
        </is>
      </c>
      <c r="AL210" t="inlineStr">
        <is>
          <t>High MSTN</t>
        </is>
      </c>
      <c r="AM210" t="inlineStr">
        <is>
          <t>P2</t>
        </is>
      </c>
      <c r="AN210" t="inlineStr">
        <is>
          <t>At-Risk Stockout</t>
        </is>
      </c>
      <c r="AO210" t="inlineStr">
        <is>
          <t>C</t>
        </is>
      </c>
      <c r="AP210" t="inlineStr"/>
      <c r="AQ210">
        <f>IF(AM210="P1",100,IF(AM210="P2",67,IF(AM210="P3",33,0)))</f>
        <v/>
      </c>
      <c r="AR210">
        <f>MIN(100,INT(IF(AI210&gt;0,AI210/Z210,AJ210/AD210)*100))</f>
        <v/>
      </c>
      <c r="AS210">
        <f>IF(AI210+AJ210=0,0,INT(100/D210))</f>
        <v/>
      </c>
      <c r="AT210">
        <f>IF(AO210="A",100,IF(AO210="B",67,33))</f>
        <v/>
      </c>
      <c r="AU210">
        <f>ROUND(0.40*AQ210+0.30*AR210+0.20*AS210+0.10*AT210,0)</f>
        <v/>
      </c>
      <c r="AV210" t="inlineStr">
        <is>
          <t>Opening inventory of 404 and supply of 0 are sufficient to cover the demand of 146. However, the projected closing inventory of 258 falls 202 units below the target safety stock requirement of 460, compromising the critical service level buffer.</t>
        </is>
      </c>
    </row>
    <row r="211">
      <c r="A211" t="inlineStr"/>
      <c r="B211" t="inlineStr">
        <is>
          <t>2026-04-17</t>
        </is>
      </c>
      <c r="C211" t="inlineStr">
        <is>
          <t>2026-03-15</t>
        </is>
      </c>
      <c r="D211" t="n">
        <v>6</v>
      </c>
      <c r="E211" t="inlineStr">
        <is>
          <t>SKU_0004</t>
        </is>
      </c>
      <c r="F211" t="inlineStr">
        <is>
          <t>DC4</t>
        </is>
      </c>
      <c r="G211" t="inlineStr">
        <is>
          <t>F1</t>
        </is>
      </c>
      <c r="H211" t="inlineStr">
        <is>
          <t>Seattle</t>
        </is>
      </c>
      <c r="I211" t="inlineStr">
        <is>
          <t>Northwest</t>
        </is>
      </c>
      <c r="J211" t="n">
        <v>47.6062</v>
      </c>
      <c r="K211" t="n">
        <v>-122.3321</v>
      </c>
      <c r="L211" t="inlineStr">
        <is>
          <t>DC</t>
        </is>
      </c>
      <c r="M211" t="inlineStr">
        <is>
          <t>Medical Devices &amp; Diagnostics</t>
        </is>
      </c>
      <c r="N211" t="n">
        <v>258</v>
      </c>
      <c r="O211" t="n">
        <v>137</v>
      </c>
      <c r="P211" t="n">
        <v>0</v>
      </c>
      <c r="Q211" t="n">
        <v>137</v>
      </c>
      <c r="R211" t="n">
        <v>0</v>
      </c>
      <c r="S211" t="n">
        <v>839</v>
      </c>
      <c r="T211" t="n">
        <v>839</v>
      </c>
      <c r="U211" t="n">
        <v>0</v>
      </c>
      <c r="V211" t="n">
        <v>960</v>
      </c>
      <c r="W211" t="n">
        <v>49.1</v>
      </c>
      <c r="X211" t="n">
        <v>3</v>
      </c>
      <c r="Y211" t="n">
        <v>28</v>
      </c>
      <c r="Z211" t="n">
        <v>460</v>
      </c>
      <c r="AA211" t="n">
        <v>21</v>
      </c>
      <c r="AB211" t="n">
        <v>345</v>
      </c>
      <c r="AC211" t="n">
        <v>98</v>
      </c>
      <c r="AD211" t="n">
        <v>1604</v>
      </c>
      <c r="AE211" t="n">
        <v>460</v>
      </c>
      <c r="AF211" t="n">
        <v>1604</v>
      </c>
      <c r="AG211" t="n">
        <v>100</v>
      </c>
      <c r="AH211" t="n">
        <v>0</v>
      </c>
      <c r="AI211" t="n">
        <v>0</v>
      </c>
      <c r="AJ211" t="n">
        <v>0</v>
      </c>
      <c r="AK211" t="inlineStr">
        <is>
          <t>MDS</t>
        </is>
      </c>
      <c r="AL211" t="inlineStr">
        <is>
          <t>None</t>
        </is>
      </c>
      <c r="AM211" t="inlineStr">
        <is>
          <t>None</t>
        </is>
      </c>
      <c r="AN211" t="inlineStr">
        <is>
          <t>Healthy</t>
        </is>
      </c>
      <c r="AO211" t="inlineStr">
        <is>
          <t>C</t>
        </is>
      </c>
      <c r="AP211" t="inlineStr"/>
      <c r="AQ211">
        <f>IF(AM211="P1",100,IF(AM211="P2",67,IF(AM211="P3",33,0)))</f>
        <v/>
      </c>
      <c r="AR211">
        <f>MIN(100,INT(IF(AI211&gt;0,AI211/Z211,AJ211/AD211)*100))</f>
        <v/>
      </c>
      <c r="AS211">
        <f>IF(AI211+AJ211=0,0,INT(100/D211))</f>
        <v/>
      </c>
      <c r="AT211">
        <f>IF(AO211="A",100,IF(AO211="B",67,33))</f>
        <v/>
      </c>
      <c r="AU211">
        <f>ROUND(0.40*AQ211+0.30*AR211+0.20*AS211+0.10*AT211,0)</f>
        <v/>
      </c>
      <c r="AV211" t="inlineStr"/>
    </row>
    <row r="212">
      <c r="A212" t="inlineStr"/>
      <c r="B212" t="inlineStr">
        <is>
          <t>2026-04-17</t>
        </is>
      </c>
      <c r="C212" t="inlineStr">
        <is>
          <t>2026-03-22</t>
        </is>
      </c>
      <c r="D212" t="n">
        <v>7</v>
      </c>
      <c r="E212" t="inlineStr">
        <is>
          <t>SKU_0004</t>
        </is>
      </c>
      <c r="F212" t="inlineStr">
        <is>
          <t>DC4</t>
        </is>
      </c>
      <c r="G212" t="inlineStr">
        <is>
          <t>F1</t>
        </is>
      </c>
      <c r="H212" t="inlineStr">
        <is>
          <t>Seattle</t>
        </is>
      </c>
      <c r="I212" t="inlineStr">
        <is>
          <t>Northwest</t>
        </is>
      </c>
      <c r="J212" t="n">
        <v>47.6062</v>
      </c>
      <c r="K212" t="n">
        <v>-122.3321</v>
      </c>
      <c r="L212" t="inlineStr">
        <is>
          <t>DC</t>
        </is>
      </c>
      <c r="M212" t="inlineStr">
        <is>
          <t>Medical Devices &amp; Diagnostics</t>
        </is>
      </c>
      <c r="N212" t="n">
        <v>960</v>
      </c>
      <c r="O212" t="n">
        <v>107</v>
      </c>
      <c r="P212" t="n">
        <v>0</v>
      </c>
      <c r="Q212" t="n">
        <v>107</v>
      </c>
      <c r="R212" t="n">
        <v>0</v>
      </c>
      <c r="S212" t="n">
        <v>0</v>
      </c>
      <c r="T212" t="n">
        <v>0</v>
      </c>
      <c r="U212" t="n">
        <v>0</v>
      </c>
      <c r="V212" t="n">
        <v>853</v>
      </c>
      <c r="W212" t="n">
        <v>55.8</v>
      </c>
      <c r="X212" t="n">
        <v>3</v>
      </c>
      <c r="Y212" t="n">
        <v>28</v>
      </c>
      <c r="Z212" t="n">
        <v>460</v>
      </c>
      <c r="AA212" t="n">
        <v>21</v>
      </c>
      <c r="AB212" t="n">
        <v>345</v>
      </c>
      <c r="AC212" t="n">
        <v>98</v>
      </c>
      <c r="AD212" t="n">
        <v>1604</v>
      </c>
      <c r="AE212" t="n">
        <v>460</v>
      </c>
      <c r="AF212" t="n">
        <v>1604</v>
      </c>
      <c r="AG212" t="n">
        <v>100</v>
      </c>
      <c r="AH212" t="n">
        <v>0</v>
      </c>
      <c r="AI212" t="n">
        <v>0</v>
      </c>
      <c r="AJ212" t="n">
        <v>0</v>
      </c>
      <c r="AK212" t="inlineStr">
        <is>
          <t>MDS</t>
        </is>
      </c>
      <c r="AL212" t="inlineStr">
        <is>
          <t>None</t>
        </is>
      </c>
      <c r="AM212" t="inlineStr">
        <is>
          <t>None</t>
        </is>
      </c>
      <c r="AN212" t="inlineStr">
        <is>
          <t>Healthy</t>
        </is>
      </c>
      <c r="AO212" t="inlineStr">
        <is>
          <t>C</t>
        </is>
      </c>
      <c r="AP212" t="inlineStr"/>
      <c r="AQ212">
        <f>IF(AM212="P1",100,IF(AM212="P2",67,IF(AM212="P3",33,0)))</f>
        <v/>
      </c>
      <c r="AR212">
        <f>MIN(100,INT(IF(AI212&gt;0,AI212/Z212,AJ212/AD212)*100))</f>
        <v/>
      </c>
      <c r="AS212">
        <f>IF(AI212+AJ212=0,0,INT(100/D212))</f>
        <v/>
      </c>
      <c r="AT212">
        <f>IF(AO212="A",100,IF(AO212="B",67,33))</f>
        <v/>
      </c>
      <c r="AU212">
        <f>ROUND(0.40*AQ212+0.30*AR212+0.20*AS212+0.10*AT212,0)</f>
        <v/>
      </c>
      <c r="AV212" t="inlineStr"/>
    </row>
    <row r="213">
      <c r="A213" t="inlineStr"/>
      <c r="B213" t="inlineStr">
        <is>
          <t>2026-04-17</t>
        </is>
      </c>
      <c r="C213" t="inlineStr">
        <is>
          <t>2026-03-29</t>
        </is>
      </c>
      <c r="D213" t="n">
        <v>8</v>
      </c>
      <c r="E213" t="inlineStr">
        <is>
          <t>SKU_0004</t>
        </is>
      </c>
      <c r="F213" t="inlineStr">
        <is>
          <t>DC4</t>
        </is>
      </c>
      <c r="G213" t="inlineStr">
        <is>
          <t>F1</t>
        </is>
      </c>
      <c r="H213" t="inlineStr">
        <is>
          <t>Seattle</t>
        </is>
      </c>
      <c r="I213" t="inlineStr">
        <is>
          <t>Northwest</t>
        </is>
      </c>
      <c r="J213" t="n">
        <v>47.6062</v>
      </c>
      <c r="K213" t="n">
        <v>-122.3321</v>
      </c>
      <c r="L213" t="inlineStr">
        <is>
          <t>DC</t>
        </is>
      </c>
      <c r="M213" t="inlineStr">
        <is>
          <t>Medical Devices &amp; Diagnostics</t>
        </is>
      </c>
      <c r="N213" t="n">
        <v>853</v>
      </c>
      <c r="O213" t="n">
        <v>112</v>
      </c>
      <c r="P213" t="n">
        <v>0</v>
      </c>
      <c r="Q213" t="n">
        <v>112</v>
      </c>
      <c r="R213" t="n">
        <v>0</v>
      </c>
      <c r="S213" t="n">
        <v>0</v>
      </c>
      <c r="T213" t="n">
        <v>0</v>
      </c>
      <c r="U213" t="n">
        <v>0</v>
      </c>
      <c r="V213" t="n">
        <v>741</v>
      </c>
      <c r="W213" t="n">
        <v>46.3</v>
      </c>
      <c r="X213" t="n">
        <v>3</v>
      </c>
      <c r="Y213" t="n">
        <v>28</v>
      </c>
      <c r="Z213" t="n">
        <v>460</v>
      </c>
      <c r="AA213" t="n">
        <v>21</v>
      </c>
      <c r="AB213" t="n">
        <v>345</v>
      </c>
      <c r="AC213" t="n">
        <v>98</v>
      </c>
      <c r="AD213" t="n">
        <v>1604</v>
      </c>
      <c r="AE213" t="n">
        <v>460</v>
      </c>
      <c r="AF213" t="n">
        <v>1604</v>
      </c>
      <c r="AG213" t="n">
        <v>100</v>
      </c>
      <c r="AH213" t="n">
        <v>0</v>
      </c>
      <c r="AI213" t="n">
        <v>0</v>
      </c>
      <c r="AJ213" t="n">
        <v>0</v>
      </c>
      <c r="AK213" t="inlineStr">
        <is>
          <t>MDS</t>
        </is>
      </c>
      <c r="AL213" t="inlineStr">
        <is>
          <t>None</t>
        </is>
      </c>
      <c r="AM213" t="inlineStr">
        <is>
          <t>None</t>
        </is>
      </c>
      <c r="AN213" t="inlineStr">
        <is>
          <t>Healthy</t>
        </is>
      </c>
      <c r="AO213" t="inlineStr">
        <is>
          <t>C</t>
        </is>
      </c>
      <c r="AP213" t="inlineStr"/>
      <c r="AQ213">
        <f>IF(AM213="P1",100,IF(AM213="P2",67,IF(AM213="P3",33,0)))</f>
        <v/>
      </c>
      <c r="AR213">
        <f>MIN(100,INT(IF(AI213&gt;0,AI213/Z213,AJ213/AD213)*100))</f>
        <v/>
      </c>
      <c r="AS213">
        <f>IF(AI213+AJ213=0,0,INT(100/D213))</f>
        <v/>
      </c>
      <c r="AT213">
        <f>IF(AO213="A",100,IF(AO213="B",67,33))</f>
        <v/>
      </c>
      <c r="AU213">
        <f>ROUND(0.40*AQ213+0.30*AR213+0.20*AS213+0.10*AT213,0)</f>
        <v/>
      </c>
      <c r="AV213" t="inlineStr"/>
    </row>
    <row r="214">
      <c r="A214" t="inlineStr"/>
      <c r="B214" t="inlineStr">
        <is>
          <t>2026-04-17</t>
        </is>
      </c>
      <c r="C214" t="inlineStr">
        <is>
          <t>2026-04-05</t>
        </is>
      </c>
      <c r="D214" t="n">
        <v>9</v>
      </c>
      <c r="E214" t="inlineStr">
        <is>
          <t>SKU_0004</t>
        </is>
      </c>
      <c r="F214" t="inlineStr">
        <is>
          <t>DC4</t>
        </is>
      </c>
      <c r="G214" t="inlineStr">
        <is>
          <t>F1</t>
        </is>
      </c>
      <c r="H214" t="inlineStr">
        <is>
          <t>Seattle</t>
        </is>
      </c>
      <c r="I214" t="inlineStr">
        <is>
          <t>Northwest</t>
        </is>
      </c>
      <c r="J214" t="n">
        <v>47.6062</v>
      </c>
      <c r="K214" t="n">
        <v>-122.3321</v>
      </c>
      <c r="L214" t="inlineStr">
        <is>
          <t>DC</t>
        </is>
      </c>
      <c r="M214" t="inlineStr">
        <is>
          <t>Medical Devices &amp; Diagnostics</t>
        </is>
      </c>
      <c r="N214" t="n">
        <v>741</v>
      </c>
      <c r="O214" t="n">
        <v>106</v>
      </c>
      <c r="P214" t="n">
        <v>0</v>
      </c>
      <c r="Q214" t="n">
        <v>106</v>
      </c>
      <c r="R214" t="n">
        <v>0</v>
      </c>
      <c r="S214" t="n">
        <v>0</v>
      </c>
      <c r="T214" t="n">
        <v>0</v>
      </c>
      <c r="U214" t="n">
        <v>0</v>
      </c>
      <c r="V214" t="n">
        <v>635</v>
      </c>
      <c r="W214" t="n">
        <v>41.9</v>
      </c>
      <c r="X214" t="n">
        <v>3</v>
      </c>
      <c r="Y214" t="n">
        <v>28</v>
      </c>
      <c r="Z214" t="n">
        <v>460</v>
      </c>
      <c r="AA214" t="n">
        <v>21</v>
      </c>
      <c r="AB214" t="n">
        <v>345</v>
      </c>
      <c r="AC214" t="n">
        <v>98</v>
      </c>
      <c r="AD214" t="n">
        <v>1604</v>
      </c>
      <c r="AE214" t="n">
        <v>460</v>
      </c>
      <c r="AF214" t="n">
        <v>1604</v>
      </c>
      <c r="AG214" t="n">
        <v>100</v>
      </c>
      <c r="AH214" t="n">
        <v>0</v>
      </c>
      <c r="AI214" t="n">
        <v>0</v>
      </c>
      <c r="AJ214" t="n">
        <v>0</v>
      </c>
      <c r="AK214" t="inlineStr">
        <is>
          <t>MDS</t>
        </is>
      </c>
      <c r="AL214" t="inlineStr">
        <is>
          <t>None</t>
        </is>
      </c>
      <c r="AM214" t="inlineStr">
        <is>
          <t>None</t>
        </is>
      </c>
      <c r="AN214" t="inlineStr">
        <is>
          <t>Healthy</t>
        </is>
      </c>
      <c r="AO214" t="inlineStr">
        <is>
          <t>C</t>
        </is>
      </c>
      <c r="AP214" t="inlineStr"/>
      <c r="AQ214">
        <f>IF(AM214="P1",100,IF(AM214="P2",67,IF(AM214="P3",33,0)))</f>
        <v/>
      </c>
      <c r="AR214">
        <f>MIN(100,INT(IF(AI214&gt;0,AI214/Z214,AJ214/AD214)*100))</f>
        <v/>
      </c>
      <c r="AS214">
        <f>IF(AI214+AJ214=0,0,INT(100/D214))</f>
        <v/>
      </c>
      <c r="AT214">
        <f>IF(AO214="A",100,IF(AO214="B",67,33))</f>
        <v/>
      </c>
      <c r="AU214">
        <f>ROUND(0.40*AQ214+0.30*AR214+0.20*AS214+0.10*AT214,0)</f>
        <v/>
      </c>
      <c r="AV214" t="inlineStr"/>
    </row>
    <row r="215">
      <c r="A215" t="inlineStr"/>
      <c r="B215" t="inlineStr">
        <is>
          <t>2026-04-17</t>
        </is>
      </c>
      <c r="C215" t="inlineStr">
        <is>
          <t>2026-04-12</t>
        </is>
      </c>
      <c r="D215" t="n">
        <v>10</v>
      </c>
      <c r="E215" t="inlineStr">
        <is>
          <t>SKU_0004</t>
        </is>
      </c>
      <c r="F215" t="inlineStr">
        <is>
          <t>DC4</t>
        </is>
      </c>
      <c r="G215" t="inlineStr">
        <is>
          <t>F1</t>
        </is>
      </c>
      <c r="H215" t="inlineStr">
        <is>
          <t>Seattle</t>
        </is>
      </c>
      <c r="I215" t="inlineStr">
        <is>
          <t>Northwest</t>
        </is>
      </c>
      <c r="J215" t="n">
        <v>47.6062</v>
      </c>
      <c r="K215" t="n">
        <v>-122.3321</v>
      </c>
      <c r="L215" t="inlineStr">
        <is>
          <t>DC</t>
        </is>
      </c>
      <c r="M215" t="inlineStr">
        <is>
          <t>Medical Devices &amp; Diagnostics</t>
        </is>
      </c>
      <c r="N215" t="n">
        <v>635</v>
      </c>
      <c r="O215" t="n">
        <v>125</v>
      </c>
      <c r="P215" t="n">
        <v>0</v>
      </c>
      <c r="Q215" t="n">
        <v>125</v>
      </c>
      <c r="R215" t="n">
        <v>0</v>
      </c>
      <c r="S215" t="n">
        <v>270</v>
      </c>
      <c r="T215" t="n">
        <v>270</v>
      </c>
      <c r="U215" t="n">
        <v>0</v>
      </c>
      <c r="V215" t="n">
        <v>780</v>
      </c>
      <c r="W215" t="n">
        <v>43.7</v>
      </c>
      <c r="X215" t="n">
        <v>3</v>
      </c>
      <c r="Y215" t="n">
        <v>28</v>
      </c>
      <c r="Z215" t="n">
        <v>460</v>
      </c>
      <c r="AA215" t="n">
        <v>21</v>
      </c>
      <c r="AB215" t="n">
        <v>345</v>
      </c>
      <c r="AC215" t="n">
        <v>98</v>
      </c>
      <c r="AD215" t="n">
        <v>1604</v>
      </c>
      <c r="AE215" t="n">
        <v>460</v>
      </c>
      <c r="AF215" t="n">
        <v>1604</v>
      </c>
      <c r="AG215" t="n">
        <v>100</v>
      </c>
      <c r="AH215" t="n">
        <v>0</v>
      </c>
      <c r="AI215" t="n">
        <v>0</v>
      </c>
      <c r="AJ215" t="n">
        <v>0</v>
      </c>
      <c r="AK215" t="inlineStr">
        <is>
          <t>MDS</t>
        </is>
      </c>
      <c r="AL215" t="inlineStr">
        <is>
          <t>None</t>
        </is>
      </c>
      <c r="AM215" t="inlineStr">
        <is>
          <t>None</t>
        </is>
      </c>
      <c r="AN215" t="inlineStr">
        <is>
          <t>Healthy</t>
        </is>
      </c>
      <c r="AO215" t="inlineStr">
        <is>
          <t>C</t>
        </is>
      </c>
      <c r="AP215" t="inlineStr"/>
      <c r="AQ215">
        <f>IF(AM215="P1",100,IF(AM215="P2",67,IF(AM215="P3",33,0)))</f>
        <v/>
      </c>
      <c r="AR215">
        <f>MIN(100,INT(IF(AI215&gt;0,AI215/Z215,AJ215/AD215)*100))</f>
        <v/>
      </c>
      <c r="AS215">
        <f>IF(AI215+AJ215=0,0,INT(100/D215))</f>
        <v/>
      </c>
      <c r="AT215">
        <f>IF(AO215="A",100,IF(AO215="B",67,33))</f>
        <v/>
      </c>
      <c r="AU215">
        <f>ROUND(0.40*AQ215+0.30*AR215+0.20*AS215+0.10*AT215,0)</f>
        <v/>
      </c>
      <c r="AV215" t="inlineStr"/>
    </row>
    <row r="216">
      <c r="A216" t="inlineStr"/>
      <c r="B216" t="inlineStr">
        <is>
          <t>2026-04-17</t>
        </is>
      </c>
      <c r="C216" t="inlineStr">
        <is>
          <t>2026-04-19</t>
        </is>
      </c>
      <c r="D216" t="n">
        <v>11</v>
      </c>
      <c r="E216" t="inlineStr">
        <is>
          <t>SKU_0004</t>
        </is>
      </c>
      <c r="F216" t="inlineStr">
        <is>
          <t>DC4</t>
        </is>
      </c>
      <c r="G216" t="inlineStr">
        <is>
          <t>F1</t>
        </is>
      </c>
      <c r="H216" t="inlineStr">
        <is>
          <t>Seattle</t>
        </is>
      </c>
      <c r="I216" t="inlineStr">
        <is>
          <t>Northwest</t>
        </is>
      </c>
      <c r="J216" t="n">
        <v>47.6062</v>
      </c>
      <c r="K216" t="n">
        <v>-122.3321</v>
      </c>
      <c r="L216" t="inlineStr">
        <is>
          <t>DC</t>
        </is>
      </c>
      <c r="M216" t="inlineStr">
        <is>
          <t>Medical Devices &amp; Diagnostics</t>
        </is>
      </c>
      <c r="N216" t="n">
        <v>780</v>
      </c>
      <c r="O216" t="n">
        <v>114</v>
      </c>
      <c r="P216" t="n">
        <v>0</v>
      </c>
      <c r="Q216" t="n">
        <v>114</v>
      </c>
      <c r="R216" t="n">
        <v>0</v>
      </c>
      <c r="S216" t="n">
        <v>256</v>
      </c>
      <c r="T216" t="n">
        <v>256</v>
      </c>
      <c r="U216" t="n">
        <v>0</v>
      </c>
      <c r="V216" t="n">
        <v>922</v>
      </c>
      <c r="W216" t="n">
        <v>56.6</v>
      </c>
      <c r="X216" t="n">
        <v>3</v>
      </c>
      <c r="Y216" t="n">
        <v>28</v>
      </c>
      <c r="Z216" t="n">
        <v>460</v>
      </c>
      <c r="AA216" t="n">
        <v>21</v>
      </c>
      <c r="AB216" t="n">
        <v>345</v>
      </c>
      <c r="AC216" t="n">
        <v>98</v>
      </c>
      <c r="AD216" t="n">
        <v>1604</v>
      </c>
      <c r="AE216" t="n">
        <v>460</v>
      </c>
      <c r="AF216" t="n">
        <v>1604</v>
      </c>
      <c r="AG216" t="n">
        <v>100</v>
      </c>
      <c r="AH216" t="n">
        <v>0</v>
      </c>
      <c r="AI216" t="n">
        <v>0</v>
      </c>
      <c r="AJ216" t="n">
        <v>0</v>
      </c>
      <c r="AK216" t="inlineStr">
        <is>
          <t>MDS</t>
        </is>
      </c>
      <c r="AL216" t="inlineStr">
        <is>
          <t>None</t>
        </is>
      </c>
      <c r="AM216" t="inlineStr">
        <is>
          <t>None</t>
        </is>
      </c>
      <c r="AN216" t="inlineStr">
        <is>
          <t>Healthy</t>
        </is>
      </c>
      <c r="AO216" t="inlineStr">
        <is>
          <t>C</t>
        </is>
      </c>
      <c r="AP216" t="inlineStr"/>
      <c r="AQ216">
        <f>IF(AM216="P1",100,IF(AM216="P2",67,IF(AM216="P3",33,0)))</f>
        <v/>
      </c>
      <c r="AR216">
        <f>MIN(100,INT(IF(AI216&gt;0,AI216/Z216,AJ216/AD216)*100))</f>
        <v/>
      </c>
      <c r="AS216">
        <f>IF(AI216+AJ216=0,0,INT(100/D216))</f>
        <v/>
      </c>
      <c r="AT216">
        <f>IF(AO216="A",100,IF(AO216="B",67,33))</f>
        <v/>
      </c>
      <c r="AU216">
        <f>ROUND(0.40*AQ216+0.30*AR216+0.20*AS216+0.10*AT216,0)</f>
        <v/>
      </c>
      <c r="AV216" t="inlineStr"/>
    </row>
    <row r="217">
      <c r="A217" t="inlineStr"/>
      <c r="B217" t="inlineStr">
        <is>
          <t>2026-04-17</t>
        </is>
      </c>
      <c r="C217" t="inlineStr">
        <is>
          <t>2026-04-26</t>
        </is>
      </c>
      <c r="D217" t="n">
        <v>12</v>
      </c>
      <c r="E217" t="inlineStr">
        <is>
          <t>SKU_0004</t>
        </is>
      </c>
      <c r="F217" t="inlineStr">
        <is>
          <t>DC4</t>
        </is>
      </c>
      <c r="G217" t="inlineStr">
        <is>
          <t>F1</t>
        </is>
      </c>
      <c r="H217" t="inlineStr">
        <is>
          <t>Seattle</t>
        </is>
      </c>
      <c r="I217" t="inlineStr">
        <is>
          <t>Northwest</t>
        </is>
      </c>
      <c r="J217" t="n">
        <v>47.6062</v>
      </c>
      <c r="K217" t="n">
        <v>-122.3321</v>
      </c>
      <c r="L217" t="inlineStr">
        <is>
          <t>DC</t>
        </is>
      </c>
      <c r="M217" t="inlineStr">
        <is>
          <t>Medical Devices &amp; Diagnostics</t>
        </is>
      </c>
      <c r="N217" t="n">
        <v>922</v>
      </c>
      <c r="O217" t="n">
        <v>122</v>
      </c>
      <c r="P217" t="n">
        <v>0</v>
      </c>
      <c r="Q217" t="n">
        <v>122</v>
      </c>
      <c r="R217" t="n">
        <v>0</v>
      </c>
      <c r="S217" t="n">
        <v>0</v>
      </c>
      <c r="T217" t="n">
        <v>0</v>
      </c>
      <c r="U217" t="n">
        <v>0</v>
      </c>
      <c r="V217" t="n">
        <v>800</v>
      </c>
      <c r="W217" t="n">
        <v>45.9</v>
      </c>
      <c r="X217" t="n">
        <v>3</v>
      </c>
      <c r="Y217" t="n">
        <v>28</v>
      </c>
      <c r="Z217" t="n">
        <v>460</v>
      </c>
      <c r="AA217" t="n">
        <v>21</v>
      </c>
      <c r="AB217" t="n">
        <v>345</v>
      </c>
      <c r="AC217" t="n">
        <v>98</v>
      </c>
      <c r="AD217" t="n">
        <v>1604</v>
      </c>
      <c r="AE217" t="n">
        <v>460</v>
      </c>
      <c r="AF217" t="n">
        <v>1604</v>
      </c>
      <c r="AG217" t="n">
        <v>100</v>
      </c>
      <c r="AH217" t="n">
        <v>0</v>
      </c>
      <c r="AI217" t="n">
        <v>0</v>
      </c>
      <c r="AJ217" t="n">
        <v>0</v>
      </c>
      <c r="AK217" t="inlineStr">
        <is>
          <t>MDS</t>
        </is>
      </c>
      <c r="AL217" t="inlineStr">
        <is>
          <t>None</t>
        </is>
      </c>
      <c r="AM217" t="inlineStr">
        <is>
          <t>None</t>
        </is>
      </c>
      <c r="AN217" t="inlineStr">
        <is>
          <t>Healthy</t>
        </is>
      </c>
      <c r="AO217" t="inlineStr">
        <is>
          <t>C</t>
        </is>
      </c>
      <c r="AP217" t="inlineStr"/>
      <c r="AQ217">
        <f>IF(AM217="P1",100,IF(AM217="P2",67,IF(AM217="P3",33,0)))</f>
        <v/>
      </c>
      <c r="AR217">
        <f>MIN(100,INT(IF(AI217&gt;0,AI217/Z217,AJ217/AD217)*100))</f>
        <v/>
      </c>
      <c r="AS217">
        <f>IF(AI217+AJ217=0,0,INT(100/D217))</f>
        <v/>
      </c>
      <c r="AT217">
        <f>IF(AO217="A",100,IF(AO217="B",67,33))</f>
        <v/>
      </c>
      <c r="AU217">
        <f>ROUND(0.40*AQ217+0.30*AR217+0.20*AS217+0.10*AT217,0)</f>
        <v/>
      </c>
      <c r="AV217" t="inlineStr"/>
    </row>
    <row r="218">
      <c r="A218" t="inlineStr">
        <is>
          <t>BD-24536581-00103</t>
        </is>
      </c>
      <c r="B218" t="inlineStr">
        <is>
          <t>2026-04-17</t>
        </is>
      </c>
      <c r="C218" t="inlineStr">
        <is>
          <t>2026-02-08</t>
        </is>
      </c>
      <c r="D218" t="n">
        <v>1</v>
      </c>
      <c r="E218" t="inlineStr">
        <is>
          <t>SKU_0004</t>
        </is>
      </c>
      <c r="F218" t="inlineStr">
        <is>
          <t>DC5</t>
        </is>
      </c>
      <c r="G218" t="inlineStr">
        <is>
          <t>F1</t>
        </is>
      </c>
      <c r="H218" t="inlineStr">
        <is>
          <t>Miami</t>
        </is>
      </c>
      <c r="I218" t="inlineStr">
        <is>
          <t>Southeast</t>
        </is>
      </c>
      <c r="J218" t="n">
        <v>25.7617</v>
      </c>
      <c r="K218" t="n">
        <v>-80.1918</v>
      </c>
      <c r="L218" t="inlineStr">
        <is>
          <t>DC</t>
        </is>
      </c>
      <c r="M218" t="inlineStr">
        <is>
          <t>Medical Devices &amp; Diagnostics</t>
        </is>
      </c>
      <c r="N218" t="n">
        <v>195</v>
      </c>
      <c r="O218" t="n">
        <v>12</v>
      </c>
      <c r="P218" t="n">
        <v>0</v>
      </c>
      <c r="Q218" t="n">
        <v>12</v>
      </c>
      <c r="R218" t="n">
        <v>0</v>
      </c>
      <c r="S218" t="n">
        <v>36</v>
      </c>
      <c r="T218" t="n">
        <v>36</v>
      </c>
      <c r="U218" t="n">
        <v>0</v>
      </c>
      <c r="V218" t="n">
        <v>219</v>
      </c>
      <c r="W218" t="n">
        <v>127.8</v>
      </c>
      <c r="X218" t="n">
        <v>3</v>
      </c>
      <c r="Y218" t="n">
        <v>28</v>
      </c>
      <c r="Z218" t="n">
        <v>59</v>
      </c>
      <c r="AA218" t="n">
        <v>21</v>
      </c>
      <c r="AB218" t="n">
        <v>44</v>
      </c>
      <c r="AC218" t="n">
        <v>84</v>
      </c>
      <c r="AD218" t="n">
        <v>176</v>
      </c>
      <c r="AE218" t="n">
        <v>59</v>
      </c>
      <c r="AF218" t="n">
        <v>176</v>
      </c>
      <c r="AG218" t="n">
        <v>100</v>
      </c>
      <c r="AH218" t="n">
        <v>24</v>
      </c>
      <c r="AI218" t="n">
        <v>0</v>
      </c>
      <c r="AJ218" t="n">
        <v>43</v>
      </c>
      <c r="AK218" t="inlineStr">
        <is>
          <t>MDS</t>
        </is>
      </c>
      <c r="AL218" t="inlineStr">
        <is>
          <t>High ESTN</t>
        </is>
      </c>
      <c r="AM218" t="inlineStr">
        <is>
          <t>P2</t>
        </is>
      </c>
      <c r="AN218" t="inlineStr">
        <is>
          <t>At-Risk Excess</t>
        </is>
      </c>
      <c r="AO218" t="inlineStr">
        <is>
          <t>C</t>
        </is>
      </c>
      <c r="AP218" t="inlineStr"/>
      <c r="AQ218">
        <f>IF(AM218="P1",100,IF(AM218="P2",67,IF(AM218="P3",33,0)))</f>
        <v/>
      </c>
      <c r="AR218">
        <f>MIN(100,INT(IF(AI218&gt;0,AI218/Z218,AJ218/AD218)*100))</f>
        <v/>
      </c>
      <c r="AS218">
        <f>IF(AI218+AJ218=0,0,INT(100/D218))</f>
        <v/>
      </c>
      <c r="AT218">
        <f>IF(AO218="A",100,IF(AO218="B",67,33))</f>
        <v/>
      </c>
      <c r="AU218">
        <f>ROUND(0.40*AQ218+0.30*AR218+0.20*AS218+0.10*AT218,0)</f>
        <v/>
      </c>
      <c r="AV218" t="inlineStr">
        <is>
          <t>Opening inventory of 195 and supply of 36 exceed the demand of 12, resulting in a projected surplus of 219. This inventory levels violates the maximum stock threshold of 176 units by 43 units, increasing holding risk.</t>
        </is>
      </c>
    </row>
    <row r="219">
      <c r="A219" t="inlineStr">
        <is>
          <t>BD-24536581-00104</t>
        </is>
      </c>
      <c r="B219" t="inlineStr">
        <is>
          <t>2026-04-17</t>
        </is>
      </c>
      <c r="C219" t="inlineStr">
        <is>
          <t>2026-02-15</t>
        </is>
      </c>
      <c r="D219" t="n">
        <v>2</v>
      </c>
      <c r="E219" t="inlineStr">
        <is>
          <t>SKU_0004</t>
        </is>
      </c>
      <c r="F219" t="inlineStr">
        <is>
          <t>DC5</t>
        </is>
      </c>
      <c r="G219" t="inlineStr">
        <is>
          <t>F1</t>
        </is>
      </c>
      <c r="H219" t="inlineStr">
        <is>
          <t>Miami</t>
        </is>
      </c>
      <c r="I219" t="inlineStr">
        <is>
          <t>Southeast</t>
        </is>
      </c>
      <c r="J219" t="n">
        <v>25.7617</v>
      </c>
      <c r="K219" t="n">
        <v>-80.1918</v>
      </c>
      <c r="L219" t="inlineStr">
        <is>
          <t>DC</t>
        </is>
      </c>
      <c r="M219" t="inlineStr">
        <is>
          <t>Medical Devices &amp; Diagnostics</t>
        </is>
      </c>
      <c r="N219" t="n">
        <v>219</v>
      </c>
      <c r="O219" t="n">
        <v>19</v>
      </c>
      <c r="P219" t="n">
        <v>0</v>
      </c>
      <c r="Q219" t="n">
        <v>19</v>
      </c>
      <c r="R219" t="n">
        <v>41</v>
      </c>
      <c r="S219" t="n">
        <v>0</v>
      </c>
      <c r="T219" t="n">
        <v>41</v>
      </c>
      <c r="U219" t="n">
        <v>0</v>
      </c>
      <c r="V219" t="n">
        <v>241</v>
      </c>
      <c r="W219" t="n">
        <v>88.8</v>
      </c>
      <c r="X219" t="n">
        <v>3</v>
      </c>
      <c r="Y219" t="n">
        <v>28</v>
      </c>
      <c r="Z219" t="n">
        <v>59</v>
      </c>
      <c r="AA219" t="n">
        <v>21</v>
      </c>
      <c r="AB219" t="n">
        <v>44</v>
      </c>
      <c r="AC219" t="n">
        <v>84</v>
      </c>
      <c r="AD219" t="n">
        <v>176</v>
      </c>
      <c r="AE219" t="n">
        <v>59</v>
      </c>
      <c r="AF219" t="n">
        <v>176</v>
      </c>
      <c r="AG219" t="n">
        <v>100</v>
      </c>
      <c r="AH219" t="n">
        <v>36</v>
      </c>
      <c r="AI219" t="n">
        <v>0</v>
      </c>
      <c r="AJ219" t="n">
        <v>65</v>
      </c>
      <c r="AK219" t="inlineStr">
        <is>
          <t>MDS</t>
        </is>
      </c>
      <c r="AL219" t="inlineStr">
        <is>
          <t>High ESTN</t>
        </is>
      </c>
      <c r="AM219" t="inlineStr">
        <is>
          <t>P2</t>
        </is>
      </c>
      <c r="AN219" t="inlineStr">
        <is>
          <t>At-Risk Excess</t>
        </is>
      </c>
      <c r="AO219" t="inlineStr">
        <is>
          <t>C</t>
        </is>
      </c>
      <c r="AP219" t="inlineStr"/>
      <c r="AQ219">
        <f>IF(AM219="P1",100,IF(AM219="P2",67,IF(AM219="P3",33,0)))</f>
        <v/>
      </c>
      <c r="AR219">
        <f>MIN(100,INT(IF(AI219&gt;0,AI219/Z219,AJ219/AD219)*100))</f>
        <v/>
      </c>
      <c r="AS219">
        <f>IF(AI219+AJ219=0,0,INT(100/D219))</f>
        <v/>
      </c>
      <c r="AT219">
        <f>IF(AO219="A",100,IF(AO219="B",67,33))</f>
        <v/>
      </c>
      <c r="AU219">
        <f>ROUND(0.40*AQ219+0.30*AR219+0.20*AS219+0.10*AT219,0)</f>
        <v/>
      </c>
      <c r="AV219" t="inlineStr">
        <is>
          <t>Opening inventory of 219 and supply of 0 exceed the demand of 19, resulting in a projected surplus of 241. This inventory levels violates the maximum stock threshold of 176 units by 65 units, increasing holding risk.</t>
        </is>
      </c>
    </row>
    <row r="220">
      <c r="A220" t="inlineStr">
        <is>
          <t>BD-24536581-00105</t>
        </is>
      </c>
      <c r="B220" t="inlineStr">
        <is>
          <t>2026-04-17</t>
        </is>
      </c>
      <c r="C220" t="inlineStr">
        <is>
          <t>2026-02-22</t>
        </is>
      </c>
      <c r="D220" t="n">
        <v>3</v>
      </c>
      <c r="E220" t="inlineStr">
        <is>
          <t>SKU_0004</t>
        </is>
      </c>
      <c r="F220" t="inlineStr">
        <is>
          <t>DC5</t>
        </is>
      </c>
      <c r="G220" t="inlineStr">
        <is>
          <t>F1</t>
        </is>
      </c>
      <c r="H220" t="inlineStr">
        <is>
          <t>Miami</t>
        </is>
      </c>
      <c r="I220" t="inlineStr">
        <is>
          <t>Southeast</t>
        </is>
      </c>
      <c r="J220" t="n">
        <v>25.7617</v>
      </c>
      <c r="K220" t="n">
        <v>-80.1918</v>
      </c>
      <c r="L220" t="inlineStr">
        <is>
          <t>DC</t>
        </is>
      </c>
      <c r="M220" t="inlineStr">
        <is>
          <t>Medical Devices &amp; Diagnostics</t>
        </is>
      </c>
      <c r="N220" t="n">
        <v>241</v>
      </c>
      <c r="O220" t="n">
        <v>18</v>
      </c>
      <c r="P220" t="n">
        <v>0</v>
      </c>
      <c r="Q220" t="n">
        <v>18</v>
      </c>
      <c r="R220" t="n">
        <v>0</v>
      </c>
      <c r="S220" t="n">
        <v>0</v>
      </c>
      <c r="T220" t="n">
        <v>0</v>
      </c>
      <c r="U220" t="n">
        <v>0</v>
      </c>
      <c r="V220" t="n">
        <v>223</v>
      </c>
      <c r="W220" t="n">
        <v>86.7</v>
      </c>
      <c r="X220" t="n">
        <v>3</v>
      </c>
      <c r="Y220" t="n">
        <v>28</v>
      </c>
      <c r="Z220" t="n">
        <v>59</v>
      </c>
      <c r="AA220" t="n">
        <v>21</v>
      </c>
      <c r="AB220" t="n">
        <v>44</v>
      </c>
      <c r="AC220" t="n">
        <v>84</v>
      </c>
      <c r="AD220" t="n">
        <v>176</v>
      </c>
      <c r="AE220" t="n">
        <v>59</v>
      </c>
      <c r="AF220" t="n">
        <v>176</v>
      </c>
      <c r="AG220" t="n">
        <v>100</v>
      </c>
      <c r="AH220" t="n">
        <v>26</v>
      </c>
      <c r="AI220" t="n">
        <v>0</v>
      </c>
      <c r="AJ220" t="n">
        <v>47</v>
      </c>
      <c r="AK220" t="inlineStr">
        <is>
          <t>MDS</t>
        </is>
      </c>
      <c r="AL220" t="inlineStr">
        <is>
          <t>High ESTN</t>
        </is>
      </c>
      <c r="AM220" t="inlineStr">
        <is>
          <t>P2</t>
        </is>
      </c>
      <c r="AN220" t="inlineStr">
        <is>
          <t>At-Risk Excess</t>
        </is>
      </c>
      <c r="AO220" t="inlineStr">
        <is>
          <t>C</t>
        </is>
      </c>
      <c r="AP220" t="inlineStr"/>
      <c r="AQ220">
        <f>IF(AM220="P1",100,IF(AM220="P2",67,IF(AM220="P3",33,0)))</f>
        <v/>
      </c>
      <c r="AR220">
        <f>MIN(100,INT(IF(AI220&gt;0,AI220/Z220,AJ220/AD220)*100))</f>
        <v/>
      </c>
      <c r="AS220">
        <f>IF(AI220+AJ220=0,0,INT(100/D220))</f>
        <v/>
      </c>
      <c r="AT220">
        <f>IF(AO220="A",100,IF(AO220="B",67,33))</f>
        <v/>
      </c>
      <c r="AU220">
        <f>ROUND(0.40*AQ220+0.30*AR220+0.20*AS220+0.10*AT220,0)</f>
        <v/>
      </c>
      <c r="AV220" t="inlineStr">
        <is>
          <t>Opening inventory of 241 and supply of 0 exceed the demand of 18, resulting in a projected surplus of 223. This inventory levels violates the maximum stock threshold of 176 units by 47 units, increasing holding risk.</t>
        </is>
      </c>
    </row>
    <row r="221">
      <c r="A221" t="inlineStr"/>
      <c r="B221" t="inlineStr">
        <is>
          <t>2026-04-17</t>
        </is>
      </c>
      <c r="C221" t="inlineStr">
        <is>
          <t>2026-03-01</t>
        </is>
      </c>
      <c r="D221" t="n">
        <v>4</v>
      </c>
      <c r="E221" t="inlineStr">
        <is>
          <t>SKU_0004</t>
        </is>
      </c>
      <c r="F221" t="inlineStr">
        <is>
          <t>DC5</t>
        </is>
      </c>
      <c r="G221" t="inlineStr">
        <is>
          <t>F1</t>
        </is>
      </c>
      <c r="H221" t="inlineStr">
        <is>
          <t>Miami</t>
        </is>
      </c>
      <c r="I221" t="inlineStr">
        <is>
          <t>Southeast</t>
        </is>
      </c>
      <c r="J221" t="n">
        <v>25.7617</v>
      </c>
      <c r="K221" t="n">
        <v>-80.1918</v>
      </c>
      <c r="L221" t="inlineStr">
        <is>
          <t>DC</t>
        </is>
      </c>
      <c r="M221" t="inlineStr">
        <is>
          <t>Medical Devices &amp; Diagnostics</t>
        </is>
      </c>
      <c r="N221" t="n">
        <v>223</v>
      </c>
      <c r="O221" t="n">
        <v>18</v>
      </c>
      <c r="P221" t="n">
        <v>0</v>
      </c>
      <c r="Q221" t="n">
        <v>18</v>
      </c>
      <c r="R221" t="n">
        <v>0</v>
      </c>
      <c r="S221" t="n">
        <v>0</v>
      </c>
      <c r="T221" t="n">
        <v>0</v>
      </c>
      <c r="U221" t="n">
        <v>0</v>
      </c>
      <c r="V221" t="n">
        <v>205</v>
      </c>
      <c r="W221" t="n">
        <v>79.7</v>
      </c>
      <c r="X221" t="n">
        <v>3</v>
      </c>
      <c r="Y221" t="n">
        <v>28</v>
      </c>
      <c r="Z221" t="n">
        <v>59</v>
      </c>
      <c r="AA221" t="n">
        <v>21</v>
      </c>
      <c r="AB221" t="n">
        <v>44</v>
      </c>
      <c r="AC221" t="n">
        <v>84</v>
      </c>
      <c r="AD221" t="n">
        <v>176</v>
      </c>
      <c r="AE221" t="n">
        <v>59</v>
      </c>
      <c r="AF221" t="n">
        <v>176</v>
      </c>
      <c r="AG221" t="n">
        <v>100</v>
      </c>
      <c r="AH221" t="n">
        <v>16</v>
      </c>
      <c r="AI221" t="n">
        <v>0</v>
      </c>
      <c r="AJ221" t="n">
        <v>29</v>
      </c>
      <c r="AK221" t="inlineStr">
        <is>
          <t>MDS</t>
        </is>
      </c>
      <c r="AL221" t="inlineStr">
        <is>
          <t>None</t>
        </is>
      </c>
      <c r="AM221" t="inlineStr">
        <is>
          <t>None</t>
        </is>
      </c>
      <c r="AN221" t="inlineStr">
        <is>
          <t>Healthy</t>
        </is>
      </c>
      <c r="AO221" t="inlineStr">
        <is>
          <t>C</t>
        </is>
      </c>
      <c r="AP221" t="inlineStr"/>
      <c r="AQ221">
        <f>IF(AM221="P1",100,IF(AM221="P2",67,IF(AM221="P3",33,0)))</f>
        <v/>
      </c>
      <c r="AR221">
        <f>MIN(100,INT(IF(AI221&gt;0,AI221/Z221,AJ221/AD221)*100))</f>
        <v/>
      </c>
      <c r="AS221">
        <f>IF(AI221+AJ221=0,0,INT(100/D221))</f>
        <v/>
      </c>
      <c r="AT221">
        <f>IF(AO221="A",100,IF(AO221="B",67,33))</f>
        <v/>
      </c>
      <c r="AU221">
        <f>ROUND(0.40*AQ221+0.30*AR221+0.20*AS221+0.10*AT221,0)</f>
        <v/>
      </c>
      <c r="AV221" t="inlineStr"/>
    </row>
    <row r="222">
      <c r="A222" t="inlineStr">
        <is>
          <t>BD-24536581-00106</t>
        </is>
      </c>
      <c r="B222" t="inlineStr">
        <is>
          <t>2026-04-17</t>
        </is>
      </c>
      <c r="C222" t="inlineStr">
        <is>
          <t>2026-03-08</t>
        </is>
      </c>
      <c r="D222" t="n">
        <v>5</v>
      </c>
      <c r="E222" t="inlineStr">
        <is>
          <t>SKU_0004</t>
        </is>
      </c>
      <c r="F222" t="inlineStr">
        <is>
          <t>DC5</t>
        </is>
      </c>
      <c r="G222" t="inlineStr">
        <is>
          <t>F1</t>
        </is>
      </c>
      <c r="H222" t="inlineStr">
        <is>
          <t>Miami</t>
        </is>
      </c>
      <c r="I222" t="inlineStr">
        <is>
          <t>Southeast</t>
        </is>
      </c>
      <c r="J222" t="n">
        <v>25.7617</v>
      </c>
      <c r="K222" t="n">
        <v>-80.1918</v>
      </c>
      <c r="L222" t="inlineStr">
        <is>
          <t>DC</t>
        </is>
      </c>
      <c r="M222" t="inlineStr">
        <is>
          <t>Medical Devices &amp; Diagnostics</t>
        </is>
      </c>
      <c r="N222" t="n">
        <v>205</v>
      </c>
      <c r="O222" t="n">
        <v>14</v>
      </c>
      <c r="P222" t="n">
        <v>0</v>
      </c>
      <c r="Q222" t="n">
        <v>14</v>
      </c>
      <c r="R222" t="n">
        <v>0</v>
      </c>
      <c r="S222" t="n">
        <v>0</v>
      </c>
      <c r="T222" t="n">
        <v>0</v>
      </c>
      <c r="U222" t="n">
        <v>0</v>
      </c>
      <c r="V222" t="n">
        <v>191</v>
      </c>
      <c r="W222" t="n">
        <v>95.5</v>
      </c>
      <c r="X222" t="n">
        <v>3</v>
      </c>
      <c r="Y222" t="n">
        <v>28</v>
      </c>
      <c r="Z222" t="n">
        <v>59</v>
      </c>
      <c r="AA222" t="n">
        <v>21</v>
      </c>
      <c r="AB222" t="n">
        <v>44</v>
      </c>
      <c r="AC222" t="n">
        <v>84</v>
      </c>
      <c r="AD222" t="n">
        <v>176</v>
      </c>
      <c r="AE222" t="n">
        <v>59</v>
      </c>
      <c r="AF222" t="n">
        <v>176</v>
      </c>
      <c r="AG222" t="n">
        <v>100</v>
      </c>
      <c r="AH222" t="n">
        <v>8</v>
      </c>
      <c r="AI222" t="n">
        <v>0</v>
      </c>
      <c r="AJ222" t="n">
        <v>15</v>
      </c>
      <c r="AK222" t="inlineStr">
        <is>
          <t>MDS</t>
        </is>
      </c>
      <c r="AL222" t="inlineStr">
        <is>
          <t>Low ESTN</t>
        </is>
      </c>
      <c r="AM222" t="inlineStr">
        <is>
          <t>P2</t>
        </is>
      </c>
      <c r="AN222" t="inlineStr">
        <is>
          <t>At-Risk Excess</t>
        </is>
      </c>
      <c r="AO222" t="inlineStr">
        <is>
          <t>C</t>
        </is>
      </c>
      <c r="AP222" t="inlineStr"/>
      <c r="AQ222">
        <f>IF(AM222="P1",100,IF(AM222="P2",67,IF(AM222="P3",33,0)))</f>
        <v/>
      </c>
      <c r="AR222">
        <f>MIN(100,INT(IF(AI222&gt;0,AI222/Z222,AJ222/AD222)*100))</f>
        <v/>
      </c>
      <c r="AS222">
        <f>IF(AI222+AJ222=0,0,INT(100/D222))</f>
        <v/>
      </c>
      <c r="AT222">
        <f>IF(AO222="A",100,IF(AO222="B",67,33))</f>
        <v/>
      </c>
      <c r="AU222">
        <f>ROUND(0.40*AQ222+0.30*AR222+0.20*AS222+0.10*AT222,0)</f>
        <v/>
      </c>
      <c r="AV222" t="inlineStr">
        <is>
          <t>Opening inventory of 205 and supply of 0 exceed the demand of 14, resulting in a projected surplus of 191. This inventory levels violates the maximum stock threshold of 176 units by 15 units, increasing holding risk.</t>
        </is>
      </c>
    </row>
    <row r="223">
      <c r="A223" t="inlineStr"/>
      <c r="B223" t="inlineStr">
        <is>
          <t>2026-04-17</t>
        </is>
      </c>
      <c r="C223" t="inlineStr">
        <is>
          <t>2026-03-15</t>
        </is>
      </c>
      <c r="D223" t="n">
        <v>6</v>
      </c>
      <c r="E223" t="inlineStr">
        <is>
          <t>SKU_0004</t>
        </is>
      </c>
      <c r="F223" t="inlineStr">
        <is>
          <t>DC5</t>
        </is>
      </c>
      <c r="G223" t="inlineStr">
        <is>
          <t>F1</t>
        </is>
      </c>
      <c r="H223" t="inlineStr">
        <is>
          <t>Miami</t>
        </is>
      </c>
      <c r="I223" t="inlineStr">
        <is>
          <t>Southeast</t>
        </is>
      </c>
      <c r="J223" t="n">
        <v>25.7617</v>
      </c>
      <c r="K223" t="n">
        <v>-80.1918</v>
      </c>
      <c r="L223" t="inlineStr">
        <is>
          <t>DC</t>
        </is>
      </c>
      <c r="M223" t="inlineStr">
        <is>
          <t>Medical Devices &amp; Diagnostics</t>
        </is>
      </c>
      <c r="N223" t="n">
        <v>191</v>
      </c>
      <c r="O223" t="n">
        <v>12</v>
      </c>
      <c r="P223" t="n">
        <v>0</v>
      </c>
      <c r="Q223" t="n">
        <v>12</v>
      </c>
      <c r="R223" t="n">
        <v>0</v>
      </c>
      <c r="S223" t="n">
        <v>25</v>
      </c>
      <c r="T223" t="n">
        <v>25</v>
      </c>
      <c r="U223" t="n">
        <v>0</v>
      </c>
      <c r="V223" t="n">
        <v>204</v>
      </c>
      <c r="W223" t="n">
        <v>119</v>
      </c>
      <c r="X223" t="n">
        <v>3</v>
      </c>
      <c r="Y223" t="n">
        <v>28</v>
      </c>
      <c r="Z223" t="n">
        <v>59</v>
      </c>
      <c r="AA223" t="n">
        <v>21</v>
      </c>
      <c r="AB223" t="n">
        <v>44</v>
      </c>
      <c r="AC223" t="n">
        <v>84</v>
      </c>
      <c r="AD223" t="n">
        <v>176</v>
      </c>
      <c r="AE223" t="n">
        <v>59</v>
      </c>
      <c r="AF223" t="n">
        <v>176</v>
      </c>
      <c r="AG223" t="n">
        <v>100</v>
      </c>
      <c r="AH223" t="n">
        <v>15</v>
      </c>
      <c r="AI223" t="n">
        <v>0</v>
      </c>
      <c r="AJ223" t="n">
        <v>28</v>
      </c>
      <c r="AK223" t="inlineStr">
        <is>
          <t>MDS</t>
        </is>
      </c>
      <c r="AL223" t="inlineStr">
        <is>
          <t>None</t>
        </is>
      </c>
      <c r="AM223" t="inlineStr">
        <is>
          <t>None</t>
        </is>
      </c>
      <c r="AN223" t="inlineStr">
        <is>
          <t>Healthy</t>
        </is>
      </c>
      <c r="AO223" t="inlineStr">
        <is>
          <t>C</t>
        </is>
      </c>
      <c r="AP223" t="inlineStr"/>
      <c r="AQ223">
        <f>IF(AM223="P1",100,IF(AM223="P2",67,IF(AM223="P3",33,0)))</f>
        <v/>
      </c>
      <c r="AR223">
        <f>MIN(100,INT(IF(AI223&gt;0,AI223/Z223,AJ223/AD223)*100))</f>
        <v/>
      </c>
      <c r="AS223">
        <f>IF(AI223+AJ223=0,0,INT(100/D223))</f>
        <v/>
      </c>
      <c r="AT223">
        <f>IF(AO223="A",100,IF(AO223="B",67,33))</f>
        <v/>
      </c>
      <c r="AU223">
        <f>ROUND(0.40*AQ223+0.30*AR223+0.20*AS223+0.10*AT223,0)</f>
        <v/>
      </c>
      <c r="AV223" t="inlineStr"/>
    </row>
    <row r="224">
      <c r="A224" t="inlineStr">
        <is>
          <t>BD-24536581-00107</t>
        </is>
      </c>
      <c r="B224" t="inlineStr">
        <is>
          <t>2026-04-17</t>
        </is>
      </c>
      <c r="C224" t="inlineStr">
        <is>
          <t>2026-03-22</t>
        </is>
      </c>
      <c r="D224" t="n">
        <v>7</v>
      </c>
      <c r="E224" t="inlineStr">
        <is>
          <t>SKU_0004</t>
        </is>
      </c>
      <c r="F224" t="inlineStr">
        <is>
          <t>DC5</t>
        </is>
      </c>
      <c r="G224" t="inlineStr">
        <is>
          <t>F1</t>
        </is>
      </c>
      <c r="H224" t="inlineStr">
        <is>
          <t>Miami</t>
        </is>
      </c>
      <c r="I224" t="inlineStr">
        <is>
          <t>Southeast</t>
        </is>
      </c>
      <c r="J224" t="n">
        <v>25.7617</v>
      </c>
      <c r="K224" t="n">
        <v>-80.1918</v>
      </c>
      <c r="L224" t="inlineStr">
        <is>
          <t>DC</t>
        </is>
      </c>
      <c r="M224" t="inlineStr">
        <is>
          <t>Medical Devices &amp; Diagnostics</t>
        </is>
      </c>
      <c r="N224" t="n">
        <v>204</v>
      </c>
      <c r="O224" t="n">
        <v>12</v>
      </c>
      <c r="P224" t="n">
        <v>0</v>
      </c>
      <c r="Q224" t="n">
        <v>12</v>
      </c>
      <c r="R224" t="n">
        <v>33</v>
      </c>
      <c r="S224" t="n">
        <v>0</v>
      </c>
      <c r="T224" t="n">
        <v>33</v>
      </c>
      <c r="U224" t="n">
        <v>0</v>
      </c>
      <c r="V224" t="n">
        <v>225</v>
      </c>
      <c r="W224" t="n">
        <v>131.2</v>
      </c>
      <c r="X224" t="n">
        <v>3</v>
      </c>
      <c r="Y224" t="n">
        <v>28</v>
      </c>
      <c r="Z224" t="n">
        <v>59</v>
      </c>
      <c r="AA224" t="n">
        <v>21</v>
      </c>
      <c r="AB224" t="n">
        <v>44</v>
      </c>
      <c r="AC224" t="n">
        <v>84</v>
      </c>
      <c r="AD224" t="n">
        <v>176</v>
      </c>
      <c r="AE224" t="n">
        <v>59</v>
      </c>
      <c r="AF224" t="n">
        <v>176</v>
      </c>
      <c r="AG224" t="n">
        <v>100</v>
      </c>
      <c r="AH224" t="n">
        <v>27</v>
      </c>
      <c r="AI224" t="n">
        <v>0</v>
      </c>
      <c r="AJ224" t="n">
        <v>49</v>
      </c>
      <c r="AK224" t="inlineStr">
        <is>
          <t>MDS</t>
        </is>
      </c>
      <c r="AL224" t="inlineStr">
        <is>
          <t>High ESTN</t>
        </is>
      </c>
      <c r="AM224" t="inlineStr">
        <is>
          <t>P2</t>
        </is>
      </c>
      <c r="AN224" t="inlineStr">
        <is>
          <t>At-Risk Excess</t>
        </is>
      </c>
      <c r="AO224" t="inlineStr">
        <is>
          <t>C</t>
        </is>
      </c>
      <c r="AP224" t="inlineStr"/>
      <c r="AQ224">
        <f>IF(AM224="P1",100,IF(AM224="P2",67,IF(AM224="P3",33,0)))</f>
        <v/>
      </c>
      <c r="AR224">
        <f>MIN(100,INT(IF(AI224&gt;0,AI224/Z224,AJ224/AD224)*100))</f>
        <v/>
      </c>
      <c r="AS224">
        <f>IF(AI224+AJ224=0,0,INT(100/D224))</f>
        <v/>
      </c>
      <c r="AT224">
        <f>IF(AO224="A",100,IF(AO224="B",67,33))</f>
        <v/>
      </c>
      <c r="AU224">
        <f>ROUND(0.40*AQ224+0.30*AR224+0.20*AS224+0.10*AT224,0)</f>
        <v/>
      </c>
      <c r="AV224" t="inlineStr">
        <is>
          <t>Opening inventory of 204 and supply of 0 exceed the demand of 12, resulting in a projected surplus of 225. This inventory levels violates the maximum stock threshold of 176 units by 49 units, increasing holding risk.</t>
        </is>
      </c>
    </row>
    <row r="225">
      <c r="A225" t="inlineStr">
        <is>
          <t>BD-24536581-00108</t>
        </is>
      </c>
      <c r="B225" t="inlineStr">
        <is>
          <t>2026-04-17</t>
        </is>
      </c>
      <c r="C225" t="inlineStr">
        <is>
          <t>2026-03-29</t>
        </is>
      </c>
      <c r="D225" t="n">
        <v>8</v>
      </c>
      <c r="E225" t="inlineStr">
        <is>
          <t>SKU_0004</t>
        </is>
      </c>
      <c r="F225" t="inlineStr">
        <is>
          <t>DC5</t>
        </is>
      </c>
      <c r="G225" t="inlineStr">
        <is>
          <t>F1</t>
        </is>
      </c>
      <c r="H225" t="inlineStr">
        <is>
          <t>Miami</t>
        </is>
      </c>
      <c r="I225" t="inlineStr">
        <is>
          <t>Southeast</t>
        </is>
      </c>
      <c r="J225" t="n">
        <v>25.7617</v>
      </c>
      <c r="K225" t="n">
        <v>-80.1918</v>
      </c>
      <c r="L225" t="inlineStr">
        <is>
          <t>DC</t>
        </is>
      </c>
      <c r="M225" t="inlineStr">
        <is>
          <t>Medical Devices &amp; Diagnostics</t>
        </is>
      </c>
      <c r="N225" t="n">
        <v>225</v>
      </c>
      <c r="O225" t="n">
        <v>12</v>
      </c>
      <c r="P225" t="n">
        <v>0</v>
      </c>
      <c r="Q225" t="n">
        <v>12</v>
      </c>
      <c r="R225" t="n">
        <v>0</v>
      </c>
      <c r="S225" t="n">
        <v>0</v>
      </c>
      <c r="T225" t="n">
        <v>0</v>
      </c>
      <c r="U225" t="n">
        <v>0</v>
      </c>
      <c r="V225" t="n">
        <v>213</v>
      </c>
      <c r="W225" t="n">
        <v>124.2</v>
      </c>
      <c r="X225" t="n">
        <v>3</v>
      </c>
      <c r="Y225" t="n">
        <v>28</v>
      </c>
      <c r="Z225" t="n">
        <v>59</v>
      </c>
      <c r="AA225" t="n">
        <v>21</v>
      </c>
      <c r="AB225" t="n">
        <v>44</v>
      </c>
      <c r="AC225" t="n">
        <v>84</v>
      </c>
      <c r="AD225" t="n">
        <v>176</v>
      </c>
      <c r="AE225" t="n">
        <v>59</v>
      </c>
      <c r="AF225" t="n">
        <v>176</v>
      </c>
      <c r="AG225" t="n">
        <v>100</v>
      </c>
      <c r="AH225" t="n">
        <v>21</v>
      </c>
      <c r="AI225" t="n">
        <v>0</v>
      </c>
      <c r="AJ225" t="n">
        <v>37</v>
      </c>
      <c r="AK225" t="inlineStr">
        <is>
          <t>MDS</t>
        </is>
      </c>
      <c r="AL225" t="inlineStr">
        <is>
          <t>High ESTN</t>
        </is>
      </c>
      <c r="AM225" t="inlineStr">
        <is>
          <t>P2</t>
        </is>
      </c>
      <c r="AN225" t="inlineStr">
        <is>
          <t>At-Risk Excess</t>
        </is>
      </c>
      <c r="AO225" t="inlineStr">
        <is>
          <t>C</t>
        </is>
      </c>
      <c r="AP225" t="inlineStr"/>
      <c r="AQ225">
        <f>IF(AM225="P1",100,IF(AM225="P2",67,IF(AM225="P3",33,0)))</f>
        <v/>
      </c>
      <c r="AR225">
        <f>MIN(100,INT(IF(AI225&gt;0,AI225/Z225,AJ225/AD225)*100))</f>
        <v/>
      </c>
      <c r="AS225">
        <f>IF(AI225+AJ225=0,0,INT(100/D225))</f>
        <v/>
      </c>
      <c r="AT225">
        <f>IF(AO225="A",100,IF(AO225="B",67,33))</f>
        <v/>
      </c>
      <c r="AU225">
        <f>ROUND(0.40*AQ225+0.30*AR225+0.20*AS225+0.10*AT225,0)</f>
        <v/>
      </c>
      <c r="AV225" t="inlineStr">
        <is>
          <t>Opening inventory of 225 and supply of 0 exceed the demand of 12, resulting in a projected surplus of 213. This inventory levels violates the maximum stock threshold of 176 units by 37 units, increasing holding risk.</t>
        </is>
      </c>
    </row>
    <row r="226">
      <c r="A226" t="inlineStr"/>
      <c r="B226" t="inlineStr">
        <is>
          <t>2026-04-17</t>
        </is>
      </c>
      <c r="C226" t="inlineStr">
        <is>
          <t>2026-04-05</t>
        </is>
      </c>
      <c r="D226" t="n">
        <v>9</v>
      </c>
      <c r="E226" t="inlineStr">
        <is>
          <t>SKU_0004</t>
        </is>
      </c>
      <c r="F226" t="inlineStr">
        <is>
          <t>DC5</t>
        </is>
      </c>
      <c r="G226" t="inlineStr">
        <is>
          <t>F1</t>
        </is>
      </c>
      <c r="H226" t="inlineStr">
        <is>
          <t>Miami</t>
        </is>
      </c>
      <c r="I226" t="inlineStr">
        <is>
          <t>Southeast</t>
        </is>
      </c>
      <c r="J226" t="n">
        <v>25.7617</v>
      </c>
      <c r="K226" t="n">
        <v>-80.1918</v>
      </c>
      <c r="L226" t="inlineStr">
        <is>
          <t>DC</t>
        </is>
      </c>
      <c r="M226" t="inlineStr">
        <is>
          <t>Medical Devices &amp; Diagnostics</t>
        </is>
      </c>
      <c r="N226" t="n">
        <v>213</v>
      </c>
      <c r="O226" t="n">
        <v>13</v>
      </c>
      <c r="P226" t="n">
        <v>0</v>
      </c>
      <c r="Q226" t="n">
        <v>13</v>
      </c>
      <c r="R226" t="n">
        <v>0</v>
      </c>
      <c r="S226" t="n">
        <v>0</v>
      </c>
      <c r="T226" t="n">
        <v>0</v>
      </c>
      <c r="U226" t="n">
        <v>0</v>
      </c>
      <c r="V226" t="n">
        <v>200</v>
      </c>
      <c r="W226" t="n">
        <v>107.7</v>
      </c>
      <c r="X226" t="n">
        <v>3</v>
      </c>
      <c r="Y226" t="n">
        <v>28</v>
      </c>
      <c r="Z226" t="n">
        <v>59</v>
      </c>
      <c r="AA226" t="n">
        <v>21</v>
      </c>
      <c r="AB226" t="n">
        <v>44</v>
      </c>
      <c r="AC226" t="n">
        <v>84</v>
      </c>
      <c r="AD226" t="n">
        <v>176</v>
      </c>
      <c r="AE226" t="n">
        <v>59</v>
      </c>
      <c r="AF226" t="n">
        <v>176</v>
      </c>
      <c r="AG226" t="n">
        <v>100</v>
      </c>
      <c r="AH226" t="n">
        <v>13</v>
      </c>
      <c r="AI226" t="n">
        <v>0</v>
      </c>
      <c r="AJ226" t="n">
        <v>24</v>
      </c>
      <c r="AK226" t="inlineStr">
        <is>
          <t>MDS</t>
        </is>
      </c>
      <c r="AL226" t="inlineStr">
        <is>
          <t>None</t>
        </is>
      </c>
      <c r="AM226" t="inlineStr">
        <is>
          <t>None</t>
        </is>
      </c>
      <c r="AN226" t="inlineStr">
        <is>
          <t>Healthy</t>
        </is>
      </c>
      <c r="AO226" t="inlineStr">
        <is>
          <t>C</t>
        </is>
      </c>
      <c r="AP226" t="inlineStr"/>
      <c r="AQ226">
        <f>IF(AM226="P1",100,IF(AM226="P2",67,IF(AM226="P3",33,0)))</f>
        <v/>
      </c>
      <c r="AR226">
        <f>MIN(100,INT(IF(AI226&gt;0,AI226/Z226,AJ226/AD226)*100))</f>
        <v/>
      </c>
      <c r="AS226">
        <f>IF(AI226+AJ226=0,0,INT(100/D226))</f>
        <v/>
      </c>
      <c r="AT226">
        <f>IF(AO226="A",100,IF(AO226="B",67,33))</f>
        <v/>
      </c>
      <c r="AU226">
        <f>ROUND(0.40*AQ226+0.30*AR226+0.20*AS226+0.10*AT226,0)</f>
        <v/>
      </c>
      <c r="AV226" t="inlineStr"/>
    </row>
    <row r="227">
      <c r="A227" t="inlineStr">
        <is>
          <t>BD-24536581-00109</t>
        </is>
      </c>
      <c r="B227" t="inlineStr">
        <is>
          <t>2026-04-17</t>
        </is>
      </c>
      <c r="C227" t="inlineStr">
        <is>
          <t>2026-04-12</t>
        </is>
      </c>
      <c r="D227" t="n">
        <v>10</v>
      </c>
      <c r="E227" t="inlineStr">
        <is>
          <t>SKU_0004</t>
        </is>
      </c>
      <c r="F227" t="inlineStr">
        <is>
          <t>DC5</t>
        </is>
      </c>
      <c r="G227" t="inlineStr">
        <is>
          <t>F1</t>
        </is>
      </c>
      <c r="H227" t="inlineStr">
        <is>
          <t>Miami</t>
        </is>
      </c>
      <c r="I227" t="inlineStr">
        <is>
          <t>Southeast</t>
        </is>
      </c>
      <c r="J227" t="n">
        <v>25.7617</v>
      </c>
      <c r="K227" t="n">
        <v>-80.1918</v>
      </c>
      <c r="L227" t="inlineStr">
        <is>
          <t>DC</t>
        </is>
      </c>
      <c r="M227" t="inlineStr">
        <is>
          <t>Medical Devices &amp; Diagnostics</t>
        </is>
      </c>
      <c r="N227" t="n">
        <v>200</v>
      </c>
      <c r="O227" t="n">
        <v>18</v>
      </c>
      <c r="P227" t="n">
        <v>0</v>
      </c>
      <c r="Q227" t="n">
        <v>18</v>
      </c>
      <c r="R227" t="n">
        <v>0</v>
      </c>
      <c r="S227" t="n">
        <v>0</v>
      </c>
      <c r="T227" t="n">
        <v>0</v>
      </c>
      <c r="U227" t="n">
        <v>0</v>
      </c>
      <c r="V227" t="n">
        <v>182</v>
      </c>
      <c r="W227" t="n">
        <v>70.8</v>
      </c>
      <c r="X227" t="n">
        <v>3</v>
      </c>
      <c r="Y227" t="n">
        <v>28</v>
      </c>
      <c r="Z227" t="n">
        <v>59</v>
      </c>
      <c r="AA227" t="n">
        <v>21</v>
      </c>
      <c r="AB227" t="n">
        <v>44</v>
      </c>
      <c r="AC227" t="n">
        <v>84</v>
      </c>
      <c r="AD227" t="n">
        <v>176</v>
      </c>
      <c r="AE227" t="n">
        <v>59</v>
      </c>
      <c r="AF227" t="n">
        <v>176</v>
      </c>
      <c r="AG227" t="n">
        <v>100</v>
      </c>
      <c r="AH227" t="n">
        <v>3</v>
      </c>
      <c r="AI227" t="n">
        <v>0</v>
      </c>
      <c r="AJ227" t="n">
        <v>6</v>
      </c>
      <c r="AK227" t="inlineStr">
        <is>
          <t>MDS</t>
        </is>
      </c>
      <c r="AL227" t="inlineStr">
        <is>
          <t>Low ESTN</t>
        </is>
      </c>
      <c r="AM227" t="inlineStr">
        <is>
          <t>P2</t>
        </is>
      </c>
      <c r="AN227" t="inlineStr">
        <is>
          <t>At-Risk Excess</t>
        </is>
      </c>
      <c r="AO227" t="inlineStr">
        <is>
          <t>C</t>
        </is>
      </c>
      <c r="AP227" t="inlineStr"/>
      <c r="AQ227">
        <f>IF(AM227="P1",100,IF(AM227="P2",67,IF(AM227="P3",33,0)))</f>
        <v/>
      </c>
      <c r="AR227">
        <f>MIN(100,INT(IF(AI227&gt;0,AI227/Z227,AJ227/AD227)*100))</f>
        <v/>
      </c>
      <c r="AS227">
        <f>IF(AI227+AJ227=0,0,INT(100/D227))</f>
        <v/>
      </c>
      <c r="AT227">
        <f>IF(AO227="A",100,IF(AO227="B",67,33))</f>
        <v/>
      </c>
      <c r="AU227">
        <f>ROUND(0.40*AQ227+0.30*AR227+0.20*AS227+0.10*AT227,0)</f>
        <v/>
      </c>
      <c r="AV227" t="inlineStr">
        <is>
          <t>Opening inventory of 200 and supply of 0 exceed the demand of 18, resulting in a projected surplus of 182. This inventory levels violates the maximum stock threshold of 176 units by 6 units, increasing holding risk.</t>
        </is>
      </c>
    </row>
    <row r="228">
      <c r="A228" t="inlineStr"/>
      <c r="B228" t="inlineStr">
        <is>
          <t>2026-04-17</t>
        </is>
      </c>
      <c r="C228" t="inlineStr">
        <is>
          <t>2026-04-19</t>
        </is>
      </c>
      <c r="D228" t="n">
        <v>11</v>
      </c>
      <c r="E228" t="inlineStr">
        <is>
          <t>SKU_0004</t>
        </is>
      </c>
      <c r="F228" t="inlineStr">
        <is>
          <t>DC5</t>
        </is>
      </c>
      <c r="G228" t="inlineStr">
        <is>
          <t>F1</t>
        </is>
      </c>
      <c r="H228" t="inlineStr">
        <is>
          <t>Miami</t>
        </is>
      </c>
      <c r="I228" t="inlineStr">
        <is>
          <t>Southeast</t>
        </is>
      </c>
      <c r="J228" t="n">
        <v>25.7617</v>
      </c>
      <c r="K228" t="n">
        <v>-80.1918</v>
      </c>
      <c r="L228" t="inlineStr">
        <is>
          <t>DC</t>
        </is>
      </c>
      <c r="M228" t="inlineStr">
        <is>
          <t>Medical Devices &amp; Diagnostics</t>
        </is>
      </c>
      <c r="N228" t="n">
        <v>182</v>
      </c>
      <c r="O228" t="n">
        <v>14</v>
      </c>
      <c r="P228" t="n">
        <v>0</v>
      </c>
      <c r="Q228" t="n">
        <v>14</v>
      </c>
      <c r="R228" t="n">
        <v>0</v>
      </c>
      <c r="S228" t="n">
        <v>0</v>
      </c>
      <c r="T228" t="n">
        <v>0</v>
      </c>
      <c r="U228" t="n">
        <v>0</v>
      </c>
      <c r="V228" t="n">
        <v>168</v>
      </c>
      <c r="W228" t="n">
        <v>84</v>
      </c>
      <c r="X228" t="n">
        <v>3</v>
      </c>
      <c r="Y228" t="n">
        <v>28</v>
      </c>
      <c r="Z228" t="n">
        <v>59</v>
      </c>
      <c r="AA228" t="n">
        <v>21</v>
      </c>
      <c r="AB228" t="n">
        <v>44</v>
      </c>
      <c r="AC228" t="n">
        <v>84</v>
      </c>
      <c r="AD228" t="n">
        <v>176</v>
      </c>
      <c r="AE228" t="n">
        <v>59</v>
      </c>
      <c r="AF228" t="n">
        <v>176</v>
      </c>
      <c r="AG228" t="n">
        <v>100</v>
      </c>
      <c r="AH228" t="n">
        <v>0</v>
      </c>
      <c r="AI228" t="n">
        <v>0</v>
      </c>
      <c r="AJ228" t="n">
        <v>0</v>
      </c>
      <c r="AK228" t="inlineStr">
        <is>
          <t>MDS</t>
        </is>
      </c>
      <c r="AL228" t="inlineStr">
        <is>
          <t>None</t>
        </is>
      </c>
      <c r="AM228" t="inlineStr">
        <is>
          <t>None</t>
        </is>
      </c>
      <c r="AN228" t="inlineStr">
        <is>
          <t>Healthy</t>
        </is>
      </c>
      <c r="AO228" t="inlineStr">
        <is>
          <t>C</t>
        </is>
      </c>
      <c r="AP228" t="inlineStr"/>
      <c r="AQ228">
        <f>IF(AM228="P1",100,IF(AM228="P2",67,IF(AM228="P3",33,0)))</f>
        <v/>
      </c>
      <c r="AR228">
        <f>MIN(100,INT(IF(AI228&gt;0,AI228/Z228,AJ228/AD228)*100))</f>
        <v/>
      </c>
      <c r="AS228">
        <f>IF(AI228+AJ228=0,0,INT(100/D228))</f>
        <v/>
      </c>
      <c r="AT228">
        <f>IF(AO228="A",100,IF(AO228="B",67,33))</f>
        <v/>
      </c>
      <c r="AU228">
        <f>ROUND(0.40*AQ228+0.30*AR228+0.20*AS228+0.10*AT228,0)</f>
        <v/>
      </c>
      <c r="AV228" t="inlineStr"/>
    </row>
    <row r="229">
      <c r="A229" t="inlineStr"/>
      <c r="B229" t="inlineStr">
        <is>
          <t>2026-04-17</t>
        </is>
      </c>
      <c r="C229" t="inlineStr">
        <is>
          <t>2026-04-26</t>
        </is>
      </c>
      <c r="D229" t="n">
        <v>12</v>
      </c>
      <c r="E229" t="inlineStr">
        <is>
          <t>SKU_0004</t>
        </is>
      </c>
      <c r="F229" t="inlineStr">
        <is>
          <t>DC5</t>
        </is>
      </c>
      <c r="G229" t="inlineStr">
        <is>
          <t>F1</t>
        </is>
      </c>
      <c r="H229" t="inlineStr">
        <is>
          <t>Miami</t>
        </is>
      </c>
      <c r="I229" t="inlineStr">
        <is>
          <t>Southeast</t>
        </is>
      </c>
      <c r="J229" t="n">
        <v>25.7617</v>
      </c>
      <c r="K229" t="n">
        <v>-80.1918</v>
      </c>
      <c r="L229" t="inlineStr">
        <is>
          <t>DC</t>
        </is>
      </c>
      <c r="M229" t="inlineStr">
        <is>
          <t>Medical Devices &amp; Diagnostics</t>
        </is>
      </c>
      <c r="N229" t="n">
        <v>168</v>
      </c>
      <c r="O229" t="n">
        <v>18</v>
      </c>
      <c r="P229" t="n">
        <v>0</v>
      </c>
      <c r="Q229" t="n">
        <v>18</v>
      </c>
      <c r="R229" t="n">
        <v>0</v>
      </c>
      <c r="S229" t="n">
        <v>0</v>
      </c>
      <c r="T229" t="n">
        <v>0</v>
      </c>
      <c r="U229" t="n">
        <v>0</v>
      </c>
      <c r="V229" t="n">
        <v>150</v>
      </c>
      <c r="W229" t="n">
        <v>58.3</v>
      </c>
      <c r="X229" t="n">
        <v>3</v>
      </c>
      <c r="Y229" t="n">
        <v>28</v>
      </c>
      <c r="Z229" t="n">
        <v>59</v>
      </c>
      <c r="AA229" t="n">
        <v>21</v>
      </c>
      <c r="AB229" t="n">
        <v>44</v>
      </c>
      <c r="AC229" t="n">
        <v>84</v>
      </c>
      <c r="AD229" t="n">
        <v>176</v>
      </c>
      <c r="AE229" t="n">
        <v>59</v>
      </c>
      <c r="AF229" t="n">
        <v>176</v>
      </c>
      <c r="AG229" t="n">
        <v>100</v>
      </c>
      <c r="AH229" t="n">
        <v>0</v>
      </c>
      <c r="AI229" t="n">
        <v>0</v>
      </c>
      <c r="AJ229" t="n">
        <v>0</v>
      </c>
      <c r="AK229" t="inlineStr">
        <is>
          <t>MDS</t>
        </is>
      </c>
      <c r="AL229" t="inlineStr">
        <is>
          <t>None</t>
        </is>
      </c>
      <c r="AM229" t="inlineStr">
        <is>
          <t>None</t>
        </is>
      </c>
      <c r="AN229" t="inlineStr">
        <is>
          <t>Healthy</t>
        </is>
      </c>
      <c r="AO229" t="inlineStr">
        <is>
          <t>C</t>
        </is>
      </c>
      <c r="AP229" t="inlineStr"/>
      <c r="AQ229">
        <f>IF(AM229="P1",100,IF(AM229="P2",67,IF(AM229="P3",33,0)))</f>
        <v/>
      </c>
      <c r="AR229">
        <f>MIN(100,INT(IF(AI229&gt;0,AI229/Z229,AJ229/AD229)*100))</f>
        <v/>
      </c>
      <c r="AS229">
        <f>IF(AI229+AJ229=0,0,INT(100/D229))</f>
        <v/>
      </c>
      <c r="AT229">
        <f>IF(AO229="A",100,IF(AO229="B",67,33))</f>
        <v/>
      </c>
      <c r="AU229">
        <f>ROUND(0.40*AQ229+0.30*AR229+0.20*AS229+0.10*AT229,0)</f>
        <v/>
      </c>
      <c r="AV229" t="inlineStr"/>
    </row>
    <row r="230">
      <c r="A230" t="inlineStr">
        <is>
          <t>BD-24536581-00110</t>
        </is>
      </c>
      <c r="B230" t="inlineStr">
        <is>
          <t>2026-04-17</t>
        </is>
      </c>
      <c r="C230" t="inlineStr">
        <is>
          <t>2026-02-08</t>
        </is>
      </c>
      <c r="D230" t="n">
        <v>1</v>
      </c>
      <c r="E230" t="inlineStr">
        <is>
          <t>SKU_0004</t>
        </is>
      </c>
      <c r="F230" t="inlineStr">
        <is>
          <t>F1</t>
        </is>
      </c>
      <c r="G230" t="inlineStr">
        <is>
          <t>F1</t>
        </is>
      </c>
      <c r="H230" t="inlineStr">
        <is>
          <t>Detroit</t>
        </is>
      </c>
      <c r="I230" t="inlineStr">
        <is>
          <t>Midwest</t>
        </is>
      </c>
      <c r="J230" t="n">
        <v>42.3314</v>
      </c>
      <c r="K230" t="n">
        <v>-83.0458</v>
      </c>
      <c r="L230" t="inlineStr">
        <is>
          <t>Factory</t>
        </is>
      </c>
      <c r="M230" t="inlineStr">
        <is>
          <t>Medical Devices &amp; Diagnostics</t>
        </is>
      </c>
      <c r="N230" t="n">
        <v>1662</v>
      </c>
      <c r="O230" t="n">
        <v>1062</v>
      </c>
      <c r="P230" t="n">
        <v>0</v>
      </c>
      <c r="Q230" t="n">
        <v>1062</v>
      </c>
      <c r="R230" t="n">
        <v>0</v>
      </c>
      <c r="S230" t="n">
        <v>0</v>
      </c>
      <c r="T230" t="n">
        <v>0</v>
      </c>
      <c r="U230" t="n">
        <v>0</v>
      </c>
      <c r="V230" t="n">
        <v>600</v>
      </c>
      <c r="W230" t="n">
        <v>4</v>
      </c>
      <c r="X230" t="n">
        <v>6</v>
      </c>
      <c r="Y230" t="n">
        <v>28</v>
      </c>
      <c r="Z230" t="n">
        <v>1543</v>
      </c>
      <c r="AA230" t="n">
        <v>42</v>
      </c>
      <c r="AB230" t="n">
        <v>2314</v>
      </c>
      <c r="AC230" t="n">
        <v>87</v>
      </c>
      <c r="AD230" t="n">
        <v>4777</v>
      </c>
      <c r="AE230" t="n">
        <v>1543</v>
      </c>
      <c r="AF230" t="n">
        <v>4777</v>
      </c>
      <c r="AG230" t="n">
        <v>38</v>
      </c>
      <c r="AH230" t="n">
        <v>0</v>
      </c>
      <c r="AI230" t="n">
        <v>943</v>
      </c>
      <c r="AJ230" t="n">
        <v>0</v>
      </c>
      <c r="AK230" t="inlineStr">
        <is>
          <t>MDS</t>
        </is>
      </c>
      <c r="AL230" t="inlineStr">
        <is>
          <t>High MSTN</t>
        </is>
      </c>
      <c r="AM230" t="inlineStr">
        <is>
          <t>P1</t>
        </is>
      </c>
      <c r="AN230" t="inlineStr">
        <is>
          <t>Critical Stockout</t>
        </is>
      </c>
      <c r="AO230" t="inlineStr">
        <is>
          <t>C</t>
        </is>
      </c>
      <c r="AP230" t="inlineStr"/>
      <c r="AQ230">
        <f>IF(AM230="P1",100,IF(AM230="P2",67,IF(AM230="P3",33,0)))</f>
        <v/>
      </c>
      <c r="AR230">
        <f>MIN(100,INT(IF(AI230&gt;0,AI230/Z230,AJ230/AD230)*100))</f>
        <v/>
      </c>
      <c r="AS230">
        <f>IF(AI230+AJ230=0,0,INT(100/D230))</f>
        <v/>
      </c>
      <c r="AT230">
        <f>IF(AO230="A",100,IF(AO230="B",67,33))</f>
        <v/>
      </c>
      <c r="AU230">
        <f>ROUND(0.40*AQ230+0.30*AR230+0.20*AS230+0.10*AT230,0)</f>
        <v/>
      </c>
      <c r="AV230" t="inlineStr">
        <is>
          <t>Opening inventory of 1662 and supply of 0 are sufficient to cover the demand of 1062. However, the projected closing inventory of 600 falls 943 units below the target safety stock requirement of 1543, compromising the critical service level buffer.</t>
        </is>
      </c>
    </row>
    <row r="231">
      <c r="A231" t="inlineStr">
        <is>
          <t>BD-24536581-00111</t>
        </is>
      </c>
      <c r="B231" t="inlineStr">
        <is>
          <t>2026-04-17</t>
        </is>
      </c>
      <c r="C231" t="inlineStr">
        <is>
          <t>2026-02-15</t>
        </is>
      </c>
      <c r="D231" t="n">
        <v>2</v>
      </c>
      <c r="E231" t="inlineStr">
        <is>
          <t>SKU_0004</t>
        </is>
      </c>
      <c r="F231" t="inlineStr">
        <is>
          <t>F1</t>
        </is>
      </c>
      <c r="G231" t="inlineStr">
        <is>
          <t>F1</t>
        </is>
      </c>
      <c r="H231" t="inlineStr">
        <is>
          <t>Detroit</t>
        </is>
      </c>
      <c r="I231" t="inlineStr">
        <is>
          <t>Midwest</t>
        </is>
      </c>
      <c r="J231" t="n">
        <v>42.3314</v>
      </c>
      <c r="K231" t="n">
        <v>-83.0458</v>
      </c>
      <c r="L231" t="inlineStr">
        <is>
          <t>Factory</t>
        </is>
      </c>
      <c r="M231" t="inlineStr">
        <is>
          <t>Medical Devices &amp; Diagnostics</t>
        </is>
      </c>
      <c r="N231" t="n">
        <v>600</v>
      </c>
      <c r="O231" t="n">
        <v>0</v>
      </c>
      <c r="P231" t="n">
        <v>0</v>
      </c>
      <c r="Q231" t="n">
        <v>0</v>
      </c>
      <c r="R231" t="n">
        <v>409</v>
      </c>
      <c r="S231" t="n">
        <v>0</v>
      </c>
      <c r="T231" t="n">
        <v>409</v>
      </c>
      <c r="U231" t="n">
        <v>0</v>
      </c>
      <c r="V231" t="n">
        <v>1009</v>
      </c>
      <c r="W231" t="n">
        <v>0</v>
      </c>
      <c r="X231" t="n">
        <v>6</v>
      </c>
      <c r="Y231" t="n">
        <v>28</v>
      </c>
      <c r="Z231" t="n">
        <v>1543</v>
      </c>
      <c r="AA231" t="n">
        <v>42</v>
      </c>
      <c r="AB231" t="n">
        <v>2314</v>
      </c>
      <c r="AC231" t="n">
        <v>87</v>
      </c>
      <c r="AD231" t="n">
        <v>4777</v>
      </c>
      <c r="AE231" t="n">
        <v>1543</v>
      </c>
      <c r="AF231" t="n">
        <v>4777</v>
      </c>
      <c r="AG231" t="n">
        <v>65</v>
      </c>
      <c r="AH231" t="n">
        <v>0</v>
      </c>
      <c r="AI231" t="n">
        <v>534</v>
      </c>
      <c r="AJ231" t="n">
        <v>0</v>
      </c>
      <c r="AK231" t="inlineStr">
        <is>
          <t>MDS</t>
        </is>
      </c>
      <c r="AL231" t="inlineStr">
        <is>
          <t>High MSTN</t>
        </is>
      </c>
      <c r="AM231" t="inlineStr">
        <is>
          <t>P1</t>
        </is>
      </c>
      <c r="AN231" t="inlineStr">
        <is>
          <t>Critical Stockout</t>
        </is>
      </c>
      <c r="AO231" t="inlineStr">
        <is>
          <t>C</t>
        </is>
      </c>
      <c r="AP231" t="inlineStr"/>
      <c r="AQ231">
        <f>IF(AM231="P1",100,IF(AM231="P2",67,IF(AM231="P3",33,0)))</f>
        <v/>
      </c>
      <c r="AR231">
        <f>MIN(100,INT(IF(AI231&gt;0,AI231/Z231,AJ231/AD231)*100))</f>
        <v/>
      </c>
      <c r="AS231">
        <f>IF(AI231+AJ231=0,0,INT(100/D231))</f>
        <v/>
      </c>
      <c r="AT231">
        <f>IF(AO231="A",100,IF(AO231="B",67,33))</f>
        <v/>
      </c>
      <c r="AU231">
        <f>ROUND(0.40*AQ231+0.30*AR231+0.20*AS231+0.10*AT231,0)</f>
        <v/>
      </c>
      <c r="AV231" t="inlineStr">
        <is>
          <t>Opening inventory of 600 and supply of 0 are sufficient to cover the demand of 0. However, the projected closing inventory of 1009 falls 534 units below the target safety stock requirement of 1543, compromising the critical service level buffer.</t>
        </is>
      </c>
    </row>
    <row r="232">
      <c r="A232" t="inlineStr">
        <is>
          <t>BD-24536581-00112</t>
        </is>
      </c>
      <c r="B232" t="inlineStr">
        <is>
          <t>2026-04-17</t>
        </is>
      </c>
      <c r="C232" t="inlineStr">
        <is>
          <t>2026-02-22</t>
        </is>
      </c>
      <c r="D232" t="n">
        <v>3</v>
      </c>
      <c r="E232" t="inlineStr">
        <is>
          <t>SKU_0004</t>
        </is>
      </c>
      <c r="F232" t="inlineStr">
        <is>
          <t>F1</t>
        </is>
      </c>
      <c r="G232" t="inlineStr">
        <is>
          <t>F1</t>
        </is>
      </c>
      <c r="H232" t="inlineStr">
        <is>
          <t>Detroit</t>
        </is>
      </c>
      <c r="I232" t="inlineStr">
        <is>
          <t>Midwest</t>
        </is>
      </c>
      <c r="J232" t="n">
        <v>42.3314</v>
      </c>
      <c r="K232" t="n">
        <v>-83.0458</v>
      </c>
      <c r="L232" t="inlineStr">
        <is>
          <t>Factory</t>
        </is>
      </c>
      <c r="M232" t="inlineStr">
        <is>
          <t>Medical Devices &amp; Diagnostics</t>
        </is>
      </c>
      <c r="N232" t="n">
        <v>1009</v>
      </c>
      <c r="O232" t="n">
        <v>812</v>
      </c>
      <c r="P232" t="n">
        <v>0</v>
      </c>
      <c r="Q232" t="n">
        <v>812</v>
      </c>
      <c r="R232" t="n">
        <v>0</v>
      </c>
      <c r="S232" t="n">
        <v>1230</v>
      </c>
      <c r="T232" t="n">
        <v>1230</v>
      </c>
      <c r="U232" t="n">
        <v>0</v>
      </c>
      <c r="V232" t="n">
        <v>1427</v>
      </c>
      <c r="W232" t="n">
        <v>12.3</v>
      </c>
      <c r="X232" t="n">
        <v>6</v>
      </c>
      <c r="Y232" t="n">
        <v>28</v>
      </c>
      <c r="Z232" t="n">
        <v>1543</v>
      </c>
      <c r="AA232" t="n">
        <v>42</v>
      </c>
      <c r="AB232" t="n">
        <v>2314</v>
      </c>
      <c r="AC232" t="n">
        <v>87</v>
      </c>
      <c r="AD232" t="n">
        <v>4777</v>
      </c>
      <c r="AE232" t="n">
        <v>1543</v>
      </c>
      <c r="AF232" t="n">
        <v>4777</v>
      </c>
      <c r="AG232" t="n">
        <v>92</v>
      </c>
      <c r="AH232" t="n">
        <v>0</v>
      </c>
      <c r="AI232" t="n">
        <v>116</v>
      </c>
      <c r="AJ232" t="n">
        <v>0</v>
      </c>
      <c r="AK232" t="inlineStr">
        <is>
          <t>MDS</t>
        </is>
      </c>
      <c r="AL232" t="inlineStr">
        <is>
          <t>Low MSTN</t>
        </is>
      </c>
      <c r="AM232" t="inlineStr">
        <is>
          <t>P2</t>
        </is>
      </c>
      <c r="AN232" t="inlineStr">
        <is>
          <t>At-Risk Stockout</t>
        </is>
      </c>
      <c r="AO232" t="inlineStr">
        <is>
          <t>C</t>
        </is>
      </c>
      <c r="AP232" t="inlineStr"/>
      <c r="AQ232">
        <f>IF(AM232="P1",100,IF(AM232="P2",67,IF(AM232="P3",33,0)))</f>
        <v/>
      </c>
      <c r="AR232">
        <f>MIN(100,INT(IF(AI232&gt;0,AI232/Z232,AJ232/AD232)*100))</f>
        <v/>
      </c>
      <c r="AS232">
        <f>IF(AI232+AJ232=0,0,INT(100/D232))</f>
        <v/>
      </c>
      <c r="AT232">
        <f>IF(AO232="A",100,IF(AO232="B",67,33))</f>
        <v/>
      </c>
      <c r="AU232">
        <f>ROUND(0.40*AQ232+0.30*AR232+0.20*AS232+0.10*AT232,0)</f>
        <v/>
      </c>
      <c r="AV232" t="inlineStr">
        <is>
          <t>Opening inventory of 1009 and supply of 1230 are sufficient to cover the demand of 812. However, the projected closing inventory of 1427 falls 116 units below the target safety stock requirement of 1543, compromising the critical service level buffer.</t>
        </is>
      </c>
    </row>
    <row r="233">
      <c r="A233" t="inlineStr"/>
      <c r="B233" t="inlineStr">
        <is>
          <t>2026-04-17</t>
        </is>
      </c>
      <c r="C233" t="inlineStr">
        <is>
          <t>2026-03-01</t>
        </is>
      </c>
      <c r="D233" t="n">
        <v>4</v>
      </c>
      <c r="E233" t="inlineStr">
        <is>
          <t>SKU_0004</t>
        </is>
      </c>
      <c r="F233" t="inlineStr">
        <is>
          <t>F1</t>
        </is>
      </c>
      <c r="G233" t="inlineStr">
        <is>
          <t>F1</t>
        </is>
      </c>
      <c r="H233" t="inlineStr">
        <is>
          <t>Detroit</t>
        </is>
      </c>
      <c r="I233" t="inlineStr">
        <is>
          <t>Midwest</t>
        </is>
      </c>
      <c r="J233" t="n">
        <v>42.3314</v>
      </c>
      <c r="K233" t="n">
        <v>-83.0458</v>
      </c>
      <c r="L233" t="inlineStr">
        <is>
          <t>Factory</t>
        </is>
      </c>
      <c r="M233" t="inlineStr">
        <is>
          <t>Medical Devices &amp; Diagnostics</t>
        </is>
      </c>
      <c r="N233" t="n">
        <v>1427</v>
      </c>
      <c r="O233" t="n">
        <v>0</v>
      </c>
      <c r="P233" t="n">
        <v>0</v>
      </c>
      <c r="Q233" t="n">
        <v>0</v>
      </c>
      <c r="R233" t="n">
        <v>0</v>
      </c>
      <c r="S233" t="n">
        <v>1154</v>
      </c>
      <c r="T233" t="n">
        <v>1154</v>
      </c>
      <c r="U233" t="n">
        <v>0</v>
      </c>
      <c r="V233" t="n">
        <v>2581</v>
      </c>
      <c r="W233" t="n">
        <v>0</v>
      </c>
      <c r="X233" t="n">
        <v>6</v>
      </c>
      <c r="Y233" t="n">
        <v>28</v>
      </c>
      <c r="Z233" t="n">
        <v>1543</v>
      </c>
      <c r="AA233" t="n">
        <v>42</v>
      </c>
      <c r="AB233" t="n">
        <v>2314</v>
      </c>
      <c r="AC233" t="n">
        <v>87</v>
      </c>
      <c r="AD233" t="n">
        <v>4777</v>
      </c>
      <c r="AE233" t="n">
        <v>1543</v>
      </c>
      <c r="AF233" t="n">
        <v>4777</v>
      </c>
      <c r="AG233" t="n">
        <v>100</v>
      </c>
      <c r="AH233" t="n">
        <v>0</v>
      </c>
      <c r="AI233" t="n">
        <v>0</v>
      </c>
      <c r="AJ233" t="n">
        <v>0</v>
      </c>
      <c r="AK233" t="inlineStr">
        <is>
          <t>MDS</t>
        </is>
      </c>
      <c r="AL233" t="inlineStr">
        <is>
          <t>None</t>
        </is>
      </c>
      <c r="AM233" t="inlineStr">
        <is>
          <t>None</t>
        </is>
      </c>
      <c r="AN233" t="inlineStr">
        <is>
          <t>Healthy</t>
        </is>
      </c>
      <c r="AO233" t="inlineStr">
        <is>
          <t>C</t>
        </is>
      </c>
      <c r="AP233" t="inlineStr"/>
      <c r="AQ233">
        <f>IF(AM233="P1",100,IF(AM233="P2",67,IF(AM233="P3",33,0)))</f>
        <v/>
      </c>
      <c r="AR233">
        <f>MIN(100,INT(IF(AI233&gt;0,AI233/Z233,AJ233/AD233)*100))</f>
        <v/>
      </c>
      <c r="AS233">
        <f>IF(AI233+AJ233=0,0,INT(100/D233))</f>
        <v/>
      </c>
      <c r="AT233">
        <f>IF(AO233="A",100,IF(AO233="B",67,33))</f>
        <v/>
      </c>
      <c r="AU233">
        <f>ROUND(0.40*AQ233+0.30*AR233+0.20*AS233+0.10*AT233,0)</f>
        <v/>
      </c>
      <c r="AV233" t="inlineStr"/>
    </row>
    <row r="234">
      <c r="A234" t="inlineStr"/>
      <c r="B234" t="inlineStr">
        <is>
          <t>2026-04-17</t>
        </is>
      </c>
      <c r="C234" t="inlineStr">
        <is>
          <t>2026-03-08</t>
        </is>
      </c>
      <c r="D234" t="n">
        <v>5</v>
      </c>
      <c r="E234" t="inlineStr">
        <is>
          <t>SKU_0004</t>
        </is>
      </c>
      <c r="F234" t="inlineStr">
        <is>
          <t>F1</t>
        </is>
      </c>
      <c r="G234" t="inlineStr">
        <is>
          <t>F1</t>
        </is>
      </c>
      <c r="H234" t="inlineStr">
        <is>
          <t>Detroit</t>
        </is>
      </c>
      <c r="I234" t="inlineStr">
        <is>
          <t>Midwest</t>
        </is>
      </c>
      <c r="J234" t="n">
        <v>42.3314</v>
      </c>
      <c r="K234" t="n">
        <v>-83.0458</v>
      </c>
      <c r="L234" t="inlineStr">
        <is>
          <t>Factory</t>
        </is>
      </c>
      <c r="M234" t="inlineStr">
        <is>
          <t>Medical Devices &amp; Diagnostics</t>
        </is>
      </c>
      <c r="N234" t="n">
        <v>2581</v>
      </c>
      <c r="O234" t="n">
        <v>995</v>
      </c>
      <c r="P234" t="n">
        <v>0</v>
      </c>
      <c r="Q234" t="n">
        <v>995</v>
      </c>
      <c r="R234" t="n">
        <v>0</v>
      </c>
      <c r="S234" t="n">
        <v>0</v>
      </c>
      <c r="T234" t="n">
        <v>0</v>
      </c>
      <c r="U234" t="n">
        <v>0</v>
      </c>
      <c r="V234" t="n">
        <v>1586</v>
      </c>
      <c r="W234" t="n">
        <v>11.2</v>
      </c>
      <c r="X234" t="n">
        <v>6</v>
      </c>
      <c r="Y234" t="n">
        <v>28</v>
      </c>
      <c r="Z234" t="n">
        <v>1543</v>
      </c>
      <c r="AA234" t="n">
        <v>42</v>
      </c>
      <c r="AB234" t="n">
        <v>2314</v>
      </c>
      <c r="AC234" t="n">
        <v>87</v>
      </c>
      <c r="AD234" t="n">
        <v>4777</v>
      </c>
      <c r="AE234" t="n">
        <v>1543</v>
      </c>
      <c r="AF234" t="n">
        <v>4777</v>
      </c>
      <c r="AG234" t="n">
        <v>100</v>
      </c>
      <c r="AH234" t="n">
        <v>0</v>
      </c>
      <c r="AI234" t="n">
        <v>0</v>
      </c>
      <c r="AJ234" t="n">
        <v>0</v>
      </c>
      <c r="AK234" t="inlineStr">
        <is>
          <t>MDS</t>
        </is>
      </c>
      <c r="AL234" t="inlineStr">
        <is>
          <t>None</t>
        </is>
      </c>
      <c r="AM234" t="inlineStr">
        <is>
          <t>None</t>
        </is>
      </c>
      <c r="AN234" t="inlineStr">
        <is>
          <t>Healthy</t>
        </is>
      </c>
      <c r="AO234" t="inlineStr">
        <is>
          <t>C</t>
        </is>
      </c>
      <c r="AP234" t="inlineStr"/>
      <c r="AQ234">
        <f>IF(AM234="P1",100,IF(AM234="P2",67,IF(AM234="P3",33,0)))</f>
        <v/>
      </c>
      <c r="AR234">
        <f>MIN(100,INT(IF(AI234&gt;0,AI234/Z234,AJ234/AD234)*100))</f>
        <v/>
      </c>
      <c r="AS234">
        <f>IF(AI234+AJ234=0,0,INT(100/D234))</f>
        <v/>
      </c>
      <c r="AT234">
        <f>IF(AO234="A",100,IF(AO234="B",67,33))</f>
        <v/>
      </c>
      <c r="AU234">
        <f>ROUND(0.40*AQ234+0.30*AR234+0.20*AS234+0.10*AT234,0)</f>
        <v/>
      </c>
      <c r="AV234" t="inlineStr"/>
    </row>
    <row r="235">
      <c r="A235" t="inlineStr">
        <is>
          <t>BD-24536581-00113</t>
        </is>
      </c>
      <c r="B235" t="inlineStr">
        <is>
          <t>2026-04-17</t>
        </is>
      </c>
      <c r="C235" t="inlineStr">
        <is>
          <t>2026-03-15</t>
        </is>
      </c>
      <c r="D235" t="n">
        <v>6</v>
      </c>
      <c r="E235" t="inlineStr">
        <is>
          <t>SKU_0004</t>
        </is>
      </c>
      <c r="F235" t="inlineStr">
        <is>
          <t>F1</t>
        </is>
      </c>
      <c r="G235" t="inlineStr">
        <is>
          <t>F1</t>
        </is>
      </c>
      <c r="H235" t="inlineStr">
        <is>
          <t>Detroit</t>
        </is>
      </c>
      <c r="I235" t="inlineStr">
        <is>
          <t>Midwest</t>
        </is>
      </c>
      <c r="J235" t="n">
        <v>42.3314</v>
      </c>
      <c r="K235" t="n">
        <v>-83.0458</v>
      </c>
      <c r="L235" t="inlineStr">
        <is>
          <t>Factory</t>
        </is>
      </c>
      <c r="M235" t="inlineStr">
        <is>
          <t>Medical Devices &amp; Diagnostics</t>
        </is>
      </c>
      <c r="N235" t="n">
        <v>1586</v>
      </c>
      <c r="O235" t="n">
        <v>531</v>
      </c>
      <c r="P235" t="n">
        <v>0</v>
      </c>
      <c r="Q235" t="n">
        <v>531</v>
      </c>
      <c r="R235" t="n">
        <v>443</v>
      </c>
      <c r="S235" t="n">
        <v>0</v>
      </c>
      <c r="T235" t="n">
        <v>443</v>
      </c>
      <c r="U235" t="n">
        <v>0</v>
      </c>
      <c r="V235" t="n">
        <v>1498</v>
      </c>
      <c r="W235" t="n">
        <v>19.7</v>
      </c>
      <c r="X235" t="n">
        <v>6</v>
      </c>
      <c r="Y235" t="n">
        <v>28</v>
      </c>
      <c r="Z235" t="n">
        <v>1543</v>
      </c>
      <c r="AA235" t="n">
        <v>42</v>
      </c>
      <c r="AB235" t="n">
        <v>2314</v>
      </c>
      <c r="AC235" t="n">
        <v>87</v>
      </c>
      <c r="AD235" t="n">
        <v>4777</v>
      </c>
      <c r="AE235" t="n">
        <v>1543</v>
      </c>
      <c r="AF235" t="n">
        <v>4777</v>
      </c>
      <c r="AG235" t="n">
        <v>97</v>
      </c>
      <c r="AH235" t="n">
        <v>0</v>
      </c>
      <c r="AI235" t="n">
        <v>45</v>
      </c>
      <c r="AJ235" t="n">
        <v>0</v>
      </c>
      <c r="AK235" t="inlineStr">
        <is>
          <t>MDS</t>
        </is>
      </c>
      <c r="AL235" t="inlineStr">
        <is>
          <t>Low MSTN</t>
        </is>
      </c>
      <c r="AM235" t="inlineStr">
        <is>
          <t>P2</t>
        </is>
      </c>
      <c r="AN235" t="inlineStr">
        <is>
          <t>At-Risk Stockout</t>
        </is>
      </c>
      <c r="AO235" t="inlineStr">
        <is>
          <t>C</t>
        </is>
      </c>
      <c r="AP235" t="inlineStr"/>
      <c r="AQ235">
        <f>IF(AM235="P1",100,IF(AM235="P2",67,IF(AM235="P3",33,0)))</f>
        <v/>
      </c>
      <c r="AR235">
        <f>MIN(100,INT(IF(AI235&gt;0,AI235/Z235,AJ235/AD235)*100))</f>
        <v/>
      </c>
      <c r="AS235">
        <f>IF(AI235+AJ235=0,0,INT(100/D235))</f>
        <v/>
      </c>
      <c r="AT235">
        <f>IF(AO235="A",100,IF(AO235="B",67,33))</f>
        <v/>
      </c>
      <c r="AU235">
        <f>ROUND(0.40*AQ235+0.30*AR235+0.20*AS235+0.10*AT235,0)</f>
        <v/>
      </c>
      <c r="AV235" t="inlineStr">
        <is>
          <t>Opening inventory of 1586 and supply of 0 are sufficient to cover the demand of 531. However, the projected closing inventory of 1498 falls 45 units below the target safety stock requirement of 1543, compromising the critical service level buffer.</t>
        </is>
      </c>
    </row>
    <row r="236">
      <c r="A236" t="inlineStr">
        <is>
          <t>BD-24536581-00114</t>
        </is>
      </c>
      <c r="B236" t="inlineStr">
        <is>
          <t>2026-04-17</t>
        </is>
      </c>
      <c r="C236" t="inlineStr">
        <is>
          <t>2026-03-22</t>
        </is>
      </c>
      <c r="D236" t="n">
        <v>7</v>
      </c>
      <c r="E236" t="inlineStr">
        <is>
          <t>SKU_0004</t>
        </is>
      </c>
      <c r="F236" t="inlineStr">
        <is>
          <t>F1</t>
        </is>
      </c>
      <c r="G236" t="inlineStr">
        <is>
          <t>F1</t>
        </is>
      </c>
      <c r="H236" t="inlineStr">
        <is>
          <t>Detroit</t>
        </is>
      </c>
      <c r="I236" t="inlineStr">
        <is>
          <t>Midwest</t>
        </is>
      </c>
      <c r="J236" t="n">
        <v>42.3314</v>
      </c>
      <c r="K236" t="n">
        <v>-83.0458</v>
      </c>
      <c r="L236" t="inlineStr">
        <is>
          <t>Factory</t>
        </is>
      </c>
      <c r="M236" t="inlineStr">
        <is>
          <t>Medical Devices &amp; Diagnostics</t>
        </is>
      </c>
      <c r="N236" t="n">
        <v>1498</v>
      </c>
      <c r="O236" t="n">
        <v>720</v>
      </c>
      <c r="P236" t="n">
        <v>0</v>
      </c>
      <c r="Q236" t="n">
        <v>720</v>
      </c>
      <c r="R236" t="n">
        <v>0</v>
      </c>
      <c r="S236" t="n">
        <v>0</v>
      </c>
      <c r="T236" t="n">
        <v>0</v>
      </c>
      <c r="U236" t="n">
        <v>0</v>
      </c>
      <c r="V236" t="n">
        <v>778</v>
      </c>
      <c r="W236" t="n">
        <v>7.6</v>
      </c>
      <c r="X236" t="n">
        <v>6</v>
      </c>
      <c r="Y236" t="n">
        <v>28</v>
      </c>
      <c r="Z236" t="n">
        <v>1543</v>
      </c>
      <c r="AA236" t="n">
        <v>42</v>
      </c>
      <c r="AB236" t="n">
        <v>2314</v>
      </c>
      <c r="AC236" t="n">
        <v>87</v>
      </c>
      <c r="AD236" t="n">
        <v>4777</v>
      </c>
      <c r="AE236" t="n">
        <v>1543</v>
      </c>
      <c r="AF236" t="n">
        <v>4777</v>
      </c>
      <c r="AG236" t="n">
        <v>50</v>
      </c>
      <c r="AH236" t="n">
        <v>0</v>
      </c>
      <c r="AI236" t="n">
        <v>765</v>
      </c>
      <c r="AJ236" t="n">
        <v>0</v>
      </c>
      <c r="AK236" t="inlineStr">
        <is>
          <t>MDS</t>
        </is>
      </c>
      <c r="AL236" t="inlineStr">
        <is>
          <t>High MSTN</t>
        </is>
      </c>
      <c r="AM236" t="inlineStr">
        <is>
          <t>P2</t>
        </is>
      </c>
      <c r="AN236" t="inlineStr">
        <is>
          <t>At-Risk Stockout</t>
        </is>
      </c>
      <c r="AO236" t="inlineStr">
        <is>
          <t>C</t>
        </is>
      </c>
      <c r="AP236" t="inlineStr"/>
      <c r="AQ236">
        <f>IF(AM236="P1",100,IF(AM236="P2",67,IF(AM236="P3",33,0)))</f>
        <v/>
      </c>
      <c r="AR236">
        <f>MIN(100,INT(IF(AI236&gt;0,AI236/Z236,AJ236/AD236)*100))</f>
        <v/>
      </c>
      <c r="AS236">
        <f>IF(AI236+AJ236=0,0,INT(100/D236))</f>
        <v/>
      </c>
      <c r="AT236">
        <f>IF(AO236="A",100,IF(AO236="B",67,33))</f>
        <v/>
      </c>
      <c r="AU236">
        <f>ROUND(0.40*AQ236+0.30*AR236+0.20*AS236+0.10*AT236,0)</f>
        <v/>
      </c>
      <c r="AV236" t="inlineStr">
        <is>
          <t>Opening inventory of 1498 and supply of 0 are sufficient to cover the demand of 720. However, the projected closing inventory of 778 falls 765 units below the target safety stock requirement of 1543, compromising the critical service level buffer.</t>
        </is>
      </c>
    </row>
    <row r="237">
      <c r="A237" t="inlineStr">
        <is>
          <t>BD-24536581-00115</t>
        </is>
      </c>
      <c r="B237" t="inlineStr">
        <is>
          <t>2026-04-17</t>
        </is>
      </c>
      <c r="C237" t="inlineStr">
        <is>
          <t>2026-03-29</t>
        </is>
      </c>
      <c r="D237" t="n">
        <v>8</v>
      </c>
      <c r="E237" t="inlineStr">
        <is>
          <t>SKU_0004</t>
        </is>
      </c>
      <c r="F237" t="inlineStr">
        <is>
          <t>F1</t>
        </is>
      </c>
      <c r="G237" t="inlineStr">
        <is>
          <t>F1</t>
        </is>
      </c>
      <c r="H237" t="inlineStr">
        <is>
          <t>Detroit</t>
        </is>
      </c>
      <c r="I237" t="inlineStr">
        <is>
          <t>Midwest</t>
        </is>
      </c>
      <c r="J237" t="n">
        <v>42.3314</v>
      </c>
      <c r="K237" t="n">
        <v>-83.0458</v>
      </c>
      <c r="L237" t="inlineStr">
        <is>
          <t>Factory</t>
        </is>
      </c>
      <c r="M237" t="inlineStr">
        <is>
          <t>Medical Devices &amp; Diagnostics</t>
        </is>
      </c>
      <c r="N237" t="n">
        <v>778</v>
      </c>
      <c r="O237" t="n">
        <v>606</v>
      </c>
      <c r="P237" t="n">
        <v>0</v>
      </c>
      <c r="Q237" t="n">
        <v>606</v>
      </c>
      <c r="R237" t="n">
        <v>0</v>
      </c>
      <c r="S237" t="n">
        <v>0</v>
      </c>
      <c r="T237" t="n">
        <v>0</v>
      </c>
      <c r="U237" t="n">
        <v>0</v>
      </c>
      <c r="V237" t="n">
        <v>172</v>
      </c>
      <c r="W237" t="n">
        <v>2</v>
      </c>
      <c r="X237" t="n">
        <v>6</v>
      </c>
      <c r="Y237" t="n">
        <v>28</v>
      </c>
      <c r="Z237" t="n">
        <v>1543</v>
      </c>
      <c r="AA237" t="n">
        <v>42</v>
      </c>
      <c r="AB237" t="n">
        <v>2314</v>
      </c>
      <c r="AC237" t="n">
        <v>87</v>
      </c>
      <c r="AD237" t="n">
        <v>4777</v>
      </c>
      <c r="AE237" t="n">
        <v>1543</v>
      </c>
      <c r="AF237" t="n">
        <v>4777</v>
      </c>
      <c r="AG237" t="n">
        <v>11</v>
      </c>
      <c r="AH237" t="n">
        <v>0</v>
      </c>
      <c r="AI237" t="n">
        <v>1371</v>
      </c>
      <c r="AJ237" t="n">
        <v>0</v>
      </c>
      <c r="AK237" t="inlineStr">
        <is>
          <t>MDS</t>
        </is>
      </c>
      <c r="AL237" t="inlineStr">
        <is>
          <t>High MSTN</t>
        </is>
      </c>
      <c r="AM237" t="inlineStr">
        <is>
          <t>P2</t>
        </is>
      </c>
      <c r="AN237" t="inlineStr">
        <is>
          <t>At-Risk Stockout</t>
        </is>
      </c>
      <c r="AO237" t="inlineStr">
        <is>
          <t>C</t>
        </is>
      </c>
      <c r="AP237" t="inlineStr"/>
      <c r="AQ237">
        <f>IF(AM237="P1",100,IF(AM237="P2",67,IF(AM237="P3",33,0)))</f>
        <v/>
      </c>
      <c r="AR237">
        <f>MIN(100,INT(IF(AI237&gt;0,AI237/Z237,AJ237/AD237)*100))</f>
        <v/>
      </c>
      <c r="AS237">
        <f>IF(AI237+AJ237=0,0,INT(100/D237))</f>
        <v/>
      </c>
      <c r="AT237">
        <f>IF(AO237="A",100,IF(AO237="B",67,33))</f>
        <v/>
      </c>
      <c r="AU237">
        <f>ROUND(0.40*AQ237+0.30*AR237+0.20*AS237+0.10*AT237,0)</f>
        <v/>
      </c>
      <c r="AV237" t="inlineStr">
        <is>
          <t>Opening inventory of 778 and supply of 0 are sufficient to cover the demand of 606. However, the projected closing inventory of 172 falls 1371 units below the target safety stock requirement of 1543, compromising the critical service level buffer.</t>
        </is>
      </c>
    </row>
    <row r="238">
      <c r="A238" t="inlineStr">
        <is>
          <t>BD-24536581-00116</t>
        </is>
      </c>
      <c r="B238" t="inlineStr">
        <is>
          <t>2026-04-17</t>
        </is>
      </c>
      <c r="C238" t="inlineStr">
        <is>
          <t>2026-04-05</t>
        </is>
      </c>
      <c r="D238" t="n">
        <v>9</v>
      </c>
      <c r="E238" t="inlineStr">
        <is>
          <t>SKU_0004</t>
        </is>
      </c>
      <c r="F238" t="inlineStr">
        <is>
          <t>F1</t>
        </is>
      </c>
      <c r="G238" t="inlineStr">
        <is>
          <t>F1</t>
        </is>
      </c>
      <c r="H238" t="inlineStr">
        <is>
          <t>Detroit</t>
        </is>
      </c>
      <c r="I238" t="inlineStr">
        <is>
          <t>Midwest</t>
        </is>
      </c>
      <c r="J238" t="n">
        <v>42.3314</v>
      </c>
      <c r="K238" t="n">
        <v>-83.0458</v>
      </c>
      <c r="L238" t="inlineStr">
        <is>
          <t>Factory</t>
        </is>
      </c>
      <c r="M238" t="inlineStr">
        <is>
          <t>Medical Devices &amp; Diagnostics</t>
        </is>
      </c>
      <c r="N238" t="n">
        <v>172</v>
      </c>
      <c r="O238" t="n">
        <v>704</v>
      </c>
      <c r="P238" t="n">
        <v>0</v>
      </c>
      <c r="Q238" t="n">
        <v>704</v>
      </c>
      <c r="R238" t="n">
        <v>0</v>
      </c>
      <c r="S238" t="n">
        <v>1403</v>
      </c>
      <c r="T238" t="n">
        <v>1403</v>
      </c>
      <c r="U238" t="n">
        <v>0</v>
      </c>
      <c r="V238" t="n">
        <v>871</v>
      </c>
      <c r="W238" t="n">
        <v>8.699999999999999</v>
      </c>
      <c r="X238" t="n">
        <v>6</v>
      </c>
      <c r="Y238" t="n">
        <v>28</v>
      </c>
      <c r="Z238" t="n">
        <v>1543</v>
      </c>
      <c r="AA238" t="n">
        <v>42</v>
      </c>
      <c r="AB238" t="n">
        <v>2314</v>
      </c>
      <c r="AC238" t="n">
        <v>87</v>
      </c>
      <c r="AD238" t="n">
        <v>4777</v>
      </c>
      <c r="AE238" t="n">
        <v>1543</v>
      </c>
      <c r="AF238" t="n">
        <v>4777</v>
      </c>
      <c r="AG238" t="n">
        <v>56</v>
      </c>
      <c r="AH238" t="n">
        <v>0</v>
      </c>
      <c r="AI238" t="n">
        <v>672</v>
      </c>
      <c r="AJ238" t="n">
        <v>0</v>
      </c>
      <c r="AK238" t="inlineStr">
        <is>
          <t>MDS</t>
        </is>
      </c>
      <c r="AL238" t="inlineStr">
        <is>
          <t>High MSTN</t>
        </is>
      </c>
      <c r="AM238" t="inlineStr">
        <is>
          <t>P2</t>
        </is>
      </c>
      <c r="AN238" t="inlineStr">
        <is>
          <t>At-Risk Stockout</t>
        </is>
      </c>
      <c r="AO238" t="inlineStr">
        <is>
          <t>C</t>
        </is>
      </c>
      <c r="AP238" t="inlineStr"/>
      <c r="AQ238">
        <f>IF(AM238="P1",100,IF(AM238="P2",67,IF(AM238="P3",33,0)))</f>
        <v/>
      </c>
      <c r="AR238">
        <f>MIN(100,INT(IF(AI238&gt;0,AI238/Z238,AJ238/AD238)*100))</f>
        <v/>
      </c>
      <c r="AS238">
        <f>IF(AI238+AJ238=0,0,INT(100/D238))</f>
        <v/>
      </c>
      <c r="AT238">
        <f>IF(AO238="A",100,IF(AO238="B",67,33))</f>
        <v/>
      </c>
      <c r="AU238">
        <f>ROUND(0.40*AQ238+0.30*AR238+0.20*AS238+0.10*AT238,0)</f>
        <v/>
      </c>
      <c r="AV238" t="inlineStr">
        <is>
          <t>Opening inventory of 172 and supply of 1403 are sufficient to cover the demand of 704. However, the projected closing inventory of 871 falls 672 units below the target safety stock requirement of 1543, compromising the critical service level buffer.</t>
        </is>
      </c>
    </row>
    <row r="239">
      <c r="A239" t="inlineStr">
        <is>
          <t>BD-24536581-00117</t>
        </is>
      </c>
      <c r="B239" t="inlineStr">
        <is>
          <t>2026-04-17</t>
        </is>
      </c>
      <c r="C239" t="inlineStr">
        <is>
          <t>2026-04-12</t>
        </is>
      </c>
      <c r="D239" t="n">
        <v>10</v>
      </c>
      <c r="E239" t="inlineStr">
        <is>
          <t>SKU_0004</t>
        </is>
      </c>
      <c r="F239" t="inlineStr">
        <is>
          <t>F1</t>
        </is>
      </c>
      <c r="G239" t="inlineStr">
        <is>
          <t>F1</t>
        </is>
      </c>
      <c r="H239" t="inlineStr">
        <is>
          <t>Detroit</t>
        </is>
      </c>
      <c r="I239" t="inlineStr">
        <is>
          <t>Midwest</t>
        </is>
      </c>
      <c r="J239" t="n">
        <v>42.3314</v>
      </c>
      <c r="K239" t="n">
        <v>-83.0458</v>
      </c>
      <c r="L239" t="inlineStr">
        <is>
          <t>Factory</t>
        </is>
      </c>
      <c r="M239" t="inlineStr">
        <is>
          <t>Medical Devices &amp; Diagnostics</t>
        </is>
      </c>
      <c r="N239" t="n">
        <v>871</v>
      </c>
      <c r="O239" t="n">
        <v>355</v>
      </c>
      <c r="P239" t="n">
        <v>0</v>
      </c>
      <c r="Q239" t="n">
        <v>355</v>
      </c>
      <c r="R239" t="n">
        <v>0</v>
      </c>
      <c r="S239" t="n">
        <v>0</v>
      </c>
      <c r="T239" t="n">
        <v>0</v>
      </c>
      <c r="U239" t="n">
        <v>0</v>
      </c>
      <c r="V239" t="n">
        <v>516</v>
      </c>
      <c r="W239" t="n">
        <v>10.2</v>
      </c>
      <c r="X239" t="n">
        <v>6</v>
      </c>
      <c r="Y239" t="n">
        <v>28</v>
      </c>
      <c r="Z239" t="n">
        <v>1543</v>
      </c>
      <c r="AA239" t="n">
        <v>42</v>
      </c>
      <c r="AB239" t="n">
        <v>2314</v>
      </c>
      <c r="AC239" t="n">
        <v>87</v>
      </c>
      <c r="AD239" t="n">
        <v>4777</v>
      </c>
      <c r="AE239" t="n">
        <v>1543</v>
      </c>
      <c r="AF239" t="n">
        <v>4777</v>
      </c>
      <c r="AG239" t="n">
        <v>33</v>
      </c>
      <c r="AH239" t="n">
        <v>0</v>
      </c>
      <c r="AI239" t="n">
        <v>1027</v>
      </c>
      <c r="AJ239" t="n">
        <v>0</v>
      </c>
      <c r="AK239" t="inlineStr">
        <is>
          <t>MDS</t>
        </is>
      </c>
      <c r="AL239" t="inlineStr">
        <is>
          <t>High MSTN</t>
        </is>
      </c>
      <c r="AM239" t="inlineStr">
        <is>
          <t>P2</t>
        </is>
      </c>
      <c r="AN239" t="inlineStr">
        <is>
          <t>At-Risk Stockout</t>
        </is>
      </c>
      <c r="AO239" t="inlineStr">
        <is>
          <t>C</t>
        </is>
      </c>
      <c r="AP239" t="inlineStr"/>
      <c r="AQ239">
        <f>IF(AM239="P1",100,IF(AM239="P2",67,IF(AM239="P3",33,0)))</f>
        <v/>
      </c>
      <c r="AR239">
        <f>MIN(100,INT(IF(AI239&gt;0,AI239/Z239,AJ239/AD239)*100))</f>
        <v/>
      </c>
      <c r="AS239">
        <f>IF(AI239+AJ239=0,0,INT(100/D239))</f>
        <v/>
      </c>
      <c r="AT239">
        <f>IF(AO239="A",100,IF(AO239="B",67,33))</f>
        <v/>
      </c>
      <c r="AU239">
        <f>ROUND(0.40*AQ239+0.30*AR239+0.20*AS239+0.10*AT239,0)</f>
        <v/>
      </c>
      <c r="AV239" t="inlineStr">
        <is>
          <t>Opening inventory of 871 and supply of 0 are sufficient to cover the demand of 355. However, the projected closing inventory of 516 falls 1027 units below the target safety stock requirement of 1543, compromising the critical service level buffer.</t>
        </is>
      </c>
    </row>
    <row r="240">
      <c r="A240" t="inlineStr"/>
      <c r="B240" t="inlineStr">
        <is>
          <t>2026-04-17</t>
        </is>
      </c>
      <c r="C240" t="inlineStr">
        <is>
          <t>2026-04-19</t>
        </is>
      </c>
      <c r="D240" t="n">
        <v>11</v>
      </c>
      <c r="E240" t="inlineStr">
        <is>
          <t>SKU_0004</t>
        </is>
      </c>
      <c r="F240" t="inlineStr">
        <is>
          <t>F1</t>
        </is>
      </c>
      <c r="G240" t="inlineStr">
        <is>
          <t>F1</t>
        </is>
      </c>
      <c r="H240" t="inlineStr">
        <is>
          <t>Detroit</t>
        </is>
      </c>
      <c r="I240" t="inlineStr">
        <is>
          <t>Midwest</t>
        </is>
      </c>
      <c r="J240" t="n">
        <v>42.3314</v>
      </c>
      <c r="K240" t="n">
        <v>-83.0458</v>
      </c>
      <c r="L240" t="inlineStr">
        <is>
          <t>Factory</t>
        </is>
      </c>
      <c r="M240" t="inlineStr">
        <is>
          <t>Medical Devices &amp; Diagnostics</t>
        </is>
      </c>
      <c r="N240" t="n">
        <v>516</v>
      </c>
      <c r="O240" t="n">
        <v>170</v>
      </c>
      <c r="P240" t="n">
        <v>0</v>
      </c>
      <c r="Q240" t="n">
        <v>170</v>
      </c>
      <c r="R240" t="n">
        <v>0</v>
      </c>
      <c r="S240" t="n">
        <v>1226</v>
      </c>
      <c r="T240" t="n">
        <v>1226</v>
      </c>
      <c r="U240" t="n">
        <v>0</v>
      </c>
      <c r="V240" t="n">
        <v>1572</v>
      </c>
      <c r="W240" t="n">
        <v>64.7</v>
      </c>
      <c r="X240" t="n">
        <v>6</v>
      </c>
      <c r="Y240" t="n">
        <v>28</v>
      </c>
      <c r="Z240" t="n">
        <v>1543</v>
      </c>
      <c r="AA240" t="n">
        <v>42</v>
      </c>
      <c r="AB240" t="n">
        <v>2314</v>
      </c>
      <c r="AC240" t="n">
        <v>87</v>
      </c>
      <c r="AD240" t="n">
        <v>4777</v>
      </c>
      <c r="AE240" t="n">
        <v>1543</v>
      </c>
      <c r="AF240" t="n">
        <v>4777</v>
      </c>
      <c r="AG240" t="n">
        <v>100</v>
      </c>
      <c r="AH240" t="n">
        <v>0</v>
      </c>
      <c r="AI240" t="n">
        <v>0</v>
      </c>
      <c r="AJ240" t="n">
        <v>0</v>
      </c>
      <c r="AK240" t="inlineStr">
        <is>
          <t>MDS</t>
        </is>
      </c>
      <c r="AL240" t="inlineStr">
        <is>
          <t>None</t>
        </is>
      </c>
      <c r="AM240" t="inlineStr">
        <is>
          <t>None</t>
        </is>
      </c>
      <c r="AN240" t="inlineStr">
        <is>
          <t>Healthy</t>
        </is>
      </c>
      <c r="AO240" t="inlineStr">
        <is>
          <t>C</t>
        </is>
      </c>
      <c r="AP240" t="inlineStr"/>
      <c r="AQ240">
        <f>IF(AM240="P1",100,IF(AM240="P2",67,IF(AM240="P3",33,0)))</f>
        <v/>
      </c>
      <c r="AR240">
        <f>MIN(100,INT(IF(AI240&gt;0,AI240/Z240,AJ240/AD240)*100))</f>
        <v/>
      </c>
      <c r="AS240">
        <f>IF(AI240+AJ240=0,0,INT(100/D240))</f>
        <v/>
      </c>
      <c r="AT240">
        <f>IF(AO240="A",100,IF(AO240="B",67,33))</f>
        <v/>
      </c>
      <c r="AU240">
        <f>ROUND(0.40*AQ240+0.30*AR240+0.20*AS240+0.10*AT240,0)</f>
        <v/>
      </c>
      <c r="AV240" t="inlineStr"/>
    </row>
    <row r="241">
      <c r="A241" t="inlineStr"/>
      <c r="B241" t="inlineStr">
        <is>
          <t>2026-04-17</t>
        </is>
      </c>
      <c r="C241" t="inlineStr">
        <is>
          <t>2026-04-26</t>
        </is>
      </c>
      <c r="D241" t="n">
        <v>12</v>
      </c>
      <c r="E241" t="inlineStr">
        <is>
          <t>SKU_0004</t>
        </is>
      </c>
      <c r="F241" t="inlineStr">
        <is>
          <t>F1</t>
        </is>
      </c>
      <c r="G241" t="inlineStr">
        <is>
          <t>F1</t>
        </is>
      </c>
      <c r="H241" t="inlineStr">
        <is>
          <t>Detroit</t>
        </is>
      </c>
      <c r="I241" t="inlineStr">
        <is>
          <t>Midwest</t>
        </is>
      </c>
      <c r="J241" t="n">
        <v>42.3314</v>
      </c>
      <c r="K241" t="n">
        <v>-83.0458</v>
      </c>
      <c r="L241" t="inlineStr">
        <is>
          <t>Factory</t>
        </is>
      </c>
      <c r="M241" t="inlineStr">
        <is>
          <t>Medical Devices &amp; Diagnostics</t>
        </is>
      </c>
      <c r="N241" t="n">
        <v>1572</v>
      </c>
      <c r="O241" t="n">
        <v>0</v>
      </c>
      <c r="P241" t="n">
        <v>0</v>
      </c>
      <c r="Q241" t="n">
        <v>0</v>
      </c>
      <c r="R241" t="n">
        <v>0</v>
      </c>
      <c r="S241" t="n">
        <v>842</v>
      </c>
      <c r="T241" t="n">
        <v>842</v>
      </c>
      <c r="U241" t="n">
        <v>0</v>
      </c>
      <c r="V241" t="n">
        <v>2414</v>
      </c>
      <c r="W241" t="n">
        <v>0</v>
      </c>
      <c r="X241" t="n">
        <v>6</v>
      </c>
      <c r="Y241" t="n">
        <v>28</v>
      </c>
      <c r="Z241" t="n">
        <v>1543</v>
      </c>
      <c r="AA241" t="n">
        <v>42</v>
      </c>
      <c r="AB241" t="n">
        <v>2314</v>
      </c>
      <c r="AC241" t="n">
        <v>87</v>
      </c>
      <c r="AD241" t="n">
        <v>4777</v>
      </c>
      <c r="AE241" t="n">
        <v>1543</v>
      </c>
      <c r="AF241" t="n">
        <v>4777</v>
      </c>
      <c r="AG241" t="n">
        <v>100</v>
      </c>
      <c r="AH241" t="n">
        <v>0</v>
      </c>
      <c r="AI241" t="n">
        <v>0</v>
      </c>
      <c r="AJ241" t="n">
        <v>0</v>
      </c>
      <c r="AK241" t="inlineStr">
        <is>
          <t>MDS</t>
        </is>
      </c>
      <c r="AL241" t="inlineStr">
        <is>
          <t>None</t>
        </is>
      </c>
      <c r="AM241" t="inlineStr">
        <is>
          <t>None</t>
        </is>
      </c>
      <c r="AN241" t="inlineStr">
        <is>
          <t>Healthy</t>
        </is>
      </c>
      <c r="AO241" t="inlineStr">
        <is>
          <t>C</t>
        </is>
      </c>
      <c r="AP241" t="inlineStr"/>
      <c r="AQ241">
        <f>IF(AM241="P1",100,IF(AM241="P2",67,IF(AM241="P3",33,0)))</f>
        <v/>
      </c>
      <c r="AR241">
        <f>MIN(100,INT(IF(AI241&gt;0,AI241/Z241,AJ241/AD241)*100))</f>
        <v/>
      </c>
      <c r="AS241">
        <f>IF(AI241+AJ241=0,0,INT(100/D241))</f>
        <v/>
      </c>
      <c r="AT241">
        <f>IF(AO241="A",100,IF(AO241="B",67,33))</f>
        <v/>
      </c>
      <c r="AU241">
        <f>ROUND(0.40*AQ241+0.30*AR241+0.20*AS241+0.10*AT241,0)</f>
        <v/>
      </c>
      <c r="AV241" t="inlineStr"/>
    </row>
    <row r="242">
      <c r="A242" t="inlineStr"/>
      <c r="B242" t="inlineStr">
        <is>
          <t>2026-04-17</t>
        </is>
      </c>
      <c r="C242" t="inlineStr">
        <is>
          <t>2026-02-08</t>
        </is>
      </c>
      <c r="D242" t="n">
        <v>1</v>
      </c>
      <c r="E242" t="inlineStr">
        <is>
          <t>SKU_0005</t>
        </is>
      </c>
      <c r="F242" t="inlineStr">
        <is>
          <t>DC1</t>
        </is>
      </c>
      <c r="G242" t="inlineStr">
        <is>
          <t>F1</t>
        </is>
      </c>
      <c r="H242" t="inlineStr">
        <is>
          <t>New York</t>
        </is>
      </c>
      <c r="I242" t="inlineStr">
        <is>
          <t>Northeast</t>
        </is>
      </c>
      <c r="J242" t="n">
        <v>40.7128</v>
      </c>
      <c r="K242" t="n">
        <v>-74.006</v>
      </c>
      <c r="L242" t="inlineStr">
        <is>
          <t>DC</t>
        </is>
      </c>
      <c r="M242" t="inlineStr">
        <is>
          <t>Medical Devices &amp; Diagnostics</t>
        </is>
      </c>
      <c r="N242" t="n">
        <v>577</v>
      </c>
      <c r="O242" t="n">
        <v>93</v>
      </c>
      <c r="P242" t="n">
        <v>0</v>
      </c>
      <c r="Q242" t="n">
        <v>93</v>
      </c>
      <c r="R242" t="n">
        <v>211</v>
      </c>
      <c r="S242" t="n">
        <v>0</v>
      </c>
      <c r="T242" t="n">
        <v>211</v>
      </c>
      <c r="U242" t="n">
        <v>0</v>
      </c>
      <c r="V242" t="n">
        <v>695</v>
      </c>
      <c r="W242" t="n">
        <v>52.3</v>
      </c>
      <c r="X242" t="n">
        <v>3</v>
      </c>
      <c r="Y242" t="n">
        <v>28</v>
      </c>
      <c r="Z242" t="n">
        <v>354</v>
      </c>
      <c r="AA242" t="n">
        <v>21</v>
      </c>
      <c r="AB242" t="n">
        <v>266</v>
      </c>
      <c r="AC242" t="n">
        <v>64</v>
      </c>
      <c r="AD242" t="n">
        <v>804</v>
      </c>
      <c r="AE242" t="n">
        <v>354</v>
      </c>
      <c r="AF242" t="n">
        <v>804</v>
      </c>
      <c r="AG242" t="n">
        <v>100</v>
      </c>
      <c r="AH242" t="n">
        <v>0</v>
      </c>
      <c r="AI242" t="n">
        <v>0</v>
      </c>
      <c r="AJ242" t="n">
        <v>0</v>
      </c>
      <c r="AK242" t="inlineStr">
        <is>
          <t>MDS</t>
        </is>
      </c>
      <c r="AL242" t="inlineStr">
        <is>
          <t>None</t>
        </is>
      </c>
      <c r="AM242" t="inlineStr">
        <is>
          <t>None</t>
        </is>
      </c>
      <c r="AN242" t="inlineStr">
        <is>
          <t>Healthy</t>
        </is>
      </c>
      <c r="AO242" t="inlineStr">
        <is>
          <t>B</t>
        </is>
      </c>
      <c r="AP242" t="inlineStr"/>
      <c r="AQ242">
        <f>IF(AM242="P1",100,IF(AM242="P2",67,IF(AM242="P3",33,0)))</f>
        <v/>
      </c>
      <c r="AR242">
        <f>MIN(100,INT(IF(AI242&gt;0,AI242/Z242,AJ242/AD242)*100))</f>
        <v/>
      </c>
      <c r="AS242">
        <f>IF(AI242+AJ242=0,0,INT(100/D242))</f>
        <v/>
      </c>
      <c r="AT242">
        <f>IF(AO242="A",100,IF(AO242="B",67,33))</f>
        <v/>
      </c>
      <c r="AU242">
        <f>ROUND(0.40*AQ242+0.30*AR242+0.20*AS242+0.10*AT242,0)</f>
        <v/>
      </c>
      <c r="AV242" t="inlineStr"/>
    </row>
    <row r="243">
      <c r="A243" t="inlineStr">
        <is>
          <t>BD-24536581-00118</t>
        </is>
      </c>
      <c r="B243" t="inlineStr">
        <is>
          <t>2026-04-17</t>
        </is>
      </c>
      <c r="C243" t="inlineStr">
        <is>
          <t>2026-02-15</t>
        </is>
      </c>
      <c r="D243" t="n">
        <v>2</v>
      </c>
      <c r="E243" t="inlineStr">
        <is>
          <t>SKU_0005</t>
        </is>
      </c>
      <c r="F243" t="inlineStr">
        <is>
          <t>DC1</t>
        </is>
      </c>
      <c r="G243" t="inlineStr">
        <is>
          <t>F1</t>
        </is>
      </c>
      <c r="H243" t="inlineStr">
        <is>
          <t>New York</t>
        </is>
      </c>
      <c r="I243" t="inlineStr">
        <is>
          <t>Northeast</t>
        </is>
      </c>
      <c r="J243" t="n">
        <v>40.7128</v>
      </c>
      <c r="K243" t="n">
        <v>-74.006</v>
      </c>
      <c r="L243" t="inlineStr">
        <is>
          <t>DC</t>
        </is>
      </c>
      <c r="M243" t="inlineStr">
        <is>
          <t>Medical Devices &amp; Diagnostics</t>
        </is>
      </c>
      <c r="N243" t="n">
        <v>695</v>
      </c>
      <c r="O243" t="n">
        <v>65</v>
      </c>
      <c r="P243" t="n">
        <v>0</v>
      </c>
      <c r="Q243" t="n">
        <v>65</v>
      </c>
      <c r="R243" t="n">
        <v>0</v>
      </c>
      <c r="S243" t="n">
        <v>681</v>
      </c>
      <c r="T243" t="n">
        <v>681</v>
      </c>
      <c r="U243" t="n">
        <v>0</v>
      </c>
      <c r="V243" t="n">
        <v>1311</v>
      </c>
      <c r="W243" t="n">
        <v>141.2</v>
      </c>
      <c r="X243" t="n">
        <v>3</v>
      </c>
      <c r="Y243" t="n">
        <v>28</v>
      </c>
      <c r="Z243" t="n">
        <v>354</v>
      </c>
      <c r="AA243" t="n">
        <v>21</v>
      </c>
      <c r="AB243" t="n">
        <v>266</v>
      </c>
      <c r="AC243" t="n">
        <v>64</v>
      </c>
      <c r="AD243" t="n">
        <v>804</v>
      </c>
      <c r="AE243" t="n">
        <v>354</v>
      </c>
      <c r="AF243" t="n">
        <v>804</v>
      </c>
      <c r="AG243" t="n">
        <v>100</v>
      </c>
      <c r="AH243" t="n">
        <v>63</v>
      </c>
      <c r="AI243" t="n">
        <v>0</v>
      </c>
      <c r="AJ243" t="n">
        <v>507</v>
      </c>
      <c r="AK243" t="inlineStr">
        <is>
          <t>MDS</t>
        </is>
      </c>
      <c r="AL243" t="inlineStr">
        <is>
          <t>High ESTN</t>
        </is>
      </c>
      <c r="AM243" t="inlineStr">
        <is>
          <t>P1</t>
        </is>
      </c>
      <c r="AN243" t="inlineStr">
        <is>
          <t>Critical Excess</t>
        </is>
      </c>
      <c r="AO243" t="inlineStr">
        <is>
          <t>B</t>
        </is>
      </c>
      <c r="AP243" t="inlineStr"/>
      <c r="AQ243">
        <f>IF(AM243="P1",100,IF(AM243="P2",67,IF(AM243="P3",33,0)))</f>
        <v/>
      </c>
      <c r="AR243">
        <f>MIN(100,INT(IF(AI243&gt;0,AI243/Z243,AJ243/AD243)*100))</f>
        <v/>
      </c>
      <c r="AS243">
        <f>IF(AI243+AJ243=0,0,INT(100/D243))</f>
        <v/>
      </c>
      <c r="AT243">
        <f>IF(AO243="A",100,IF(AO243="B",67,33))</f>
        <v/>
      </c>
      <c r="AU243">
        <f>ROUND(0.40*AQ243+0.30*AR243+0.20*AS243+0.10*AT243,0)</f>
        <v/>
      </c>
      <c r="AV243" t="inlineStr">
        <is>
          <t>Opening inventory of 695 and supply of 681 exceed the demand of 65, resulting in a projected surplus of 1311. This inventory levels violates the maximum stock threshold of 804 units by 507 units, increasing holding risk.</t>
        </is>
      </c>
    </row>
    <row r="244">
      <c r="A244" t="inlineStr">
        <is>
          <t>BD-24536581-00119</t>
        </is>
      </c>
      <c r="B244" t="inlineStr">
        <is>
          <t>2026-04-17</t>
        </is>
      </c>
      <c r="C244" t="inlineStr">
        <is>
          <t>2026-02-22</t>
        </is>
      </c>
      <c r="D244" t="n">
        <v>3</v>
      </c>
      <c r="E244" t="inlineStr">
        <is>
          <t>SKU_0005</t>
        </is>
      </c>
      <c r="F244" t="inlineStr">
        <is>
          <t>DC1</t>
        </is>
      </c>
      <c r="G244" t="inlineStr">
        <is>
          <t>F1</t>
        </is>
      </c>
      <c r="H244" t="inlineStr">
        <is>
          <t>New York</t>
        </is>
      </c>
      <c r="I244" t="inlineStr">
        <is>
          <t>Northeast</t>
        </is>
      </c>
      <c r="J244" t="n">
        <v>40.7128</v>
      </c>
      <c r="K244" t="n">
        <v>-74.006</v>
      </c>
      <c r="L244" t="inlineStr">
        <is>
          <t>DC</t>
        </is>
      </c>
      <c r="M244" t="inlineStr">
        <is>
          <t>Medical Devices &amp; Diagnostics</t>
        </is>
      </c>
      <c r="N244" t="n">
        <v>1311</v>
      </c>
      <c r="O244" t="n">
        <v>108</v>
      </c>
      <c r="P244" t="n">
        <v>0</v>
      </c>
      <c r="Q244" t="n">
        <v>108</v>
      </c>
      <c r="R244" t="n">
        <v>0</v>
      </c>
      <c r="S244" t="n">
        <v>0</v>
      </c>
      <c r="T244" t="n">
        <v>0</v>
      </c>
      <c r="U244" t="n">
        <v>0</v>
      </c>
      <c r="V244" t="n">
        <v>1203</v>
      </c>
      <c r="W244" t="n">
        <v>78</v>
      </c>
      <c r="X244" t="n">
        <v>3</v>
      </c>
      <c r="Y244" t="n">
        <v>28</v>
      </c>
      <c r="Z244" t="n">
        <v>354</v>
      </c>
      <c r="AA244" t="n">
        <v>21</v>
      </c>
      <c r="AB244" t="n">
        <v>266</v>
      </c>
      <c r="AC244" t="n">
        <v>64</v>
      </c>
      <c r="AD244" t="n">
        <v>804</v>
      </c>
      <c r="AE244" t="n">
        <v>354</v>
      </c>
      <c r="AF244" t="n">
        <v>804</v>
      </c>
      <c r="AG244" t="n">
        <v>100</v>
      </c>
      <c r="AH244" t="n">
        <v>49</v>
      </c>
      <c r="AI244" t="n">
        <v>0</v>
      </c>
      <c r="AJ244" t="n">
        <v>399</v>
      </c>
      <c r="AK244" t="inlineStr">
        <is>
          <t>MDS</t>
        </is>
      </c>
      <c r="AL244" t="inlineStr">
        <is>
          <t>High ESTN</t>
        </is>
      </c>
      <c r="AM244" t="inlineStr">
        <is>
          <t>P1</t>
        </is>
      </c>
      <c r="AN244" t="inlineStr">
        <is>
          <t>Critical Excess</t>
        </is>
      </c>
      <c r="AO244" t="inlineStr">
        <is>
          <t>B</t>
        </is>
      </c>
      <c r="AP244" t="inlineStr"/>
      <c r="AQ244">
        <f>IF(AM244="P1",100,IF(AM244="P2",67,IF(AM244="P3",33,0)))</f>
        <v/>
      </c>
      <c r="AR244">
        <f>MIN(100,INT(IF(AI244&gt;0,AI244/Z244,AJ244/AD244)*100))</f>
        <v/>
      </c>
      <c r="AS244">
        <f>IF(AI244+AJ244=0,0,INT(100/D244))</f>
        <v/>
      </c>
      <c r="AT244">
        <f>IF(AO244="A",100,IF(AO244="B",67,33))</f>
        <v/>
      </c>
      <c r="AU244">
        <f>ROUND(0.40*AQ244+0.30*AR244+0.20*AS244+0.10*AT244,0)</f>
        <v/>
      </c>
      <c r="AV244" t="inlineStr">
        <is>
          <t>Opening inventory of 1311 and supply of 0 exceed the demand of 108, resulting in a projected surplus of 1203. This inventory levels violates the maximum stock threshold of 804 units by 399 units, increasing holding risk.</t>
        </is>
      </c>
    </row>
    <row r="245">
      <c r="A245" t="inlineStr">
        <is>
          <t>BD-24536581-00120</t>
        </is>
      </c>
      <c r="B245" t="inlineStr">
        <is>
          <t>2026-04-17</t>
        </is>
      </c>
      <c r="C245" t="inlineStr">
        <is>
          <t>2026-03-01</t>
        </is>
      </c>
      <c r="D245" t="n">
        <v>4</v>
      </c>
      <c r="E245" t="inlineStr">
        <is>
          <t>SKU_0005</t>
        </is>
      </c>
      <c r="F245" t="inlineStr">
        <is>
          <t>DC1</t>
        </is>
      </c>
      <c r="G245" t="inlineStr">
        <is>
          <t>F1</t>
        </is>
      </c>
      <c r="H245" t="inlineStr">
        <is>
          <t>New York</t>
        </is>
      </c>
      <c r="I245" t="inlineStr">
        <is>
          <t>Northeast</t>
        </is>
      </c>
      <c r="J245" t="n">
        <v>40.7128</v>
      </c>
      <c r="K245" t="n">
        <v>-74.006</v>
      </c>
      <c r="L245" t="inlineStr">
        <is>
          <t>DC</t>
        </is>
      </c>
      <c r="M245" t="inlineStr">
        <is>
          <t>Medical Devices &amp; Diagnostics</t>
        </is>
      </c>
      <c r="N245" t="n">
        <v>1203</v>
      </c>
      <c r="O245" t="n">
        <v>87</v>
      </c>
      <c r="P245" t="n">
        <v>0</v>
      </c>
      <c r="Q245" t="n">
        <v>87</v>
      </c>
      <c r="R245" t="n">
        <v>194</v>
      </c>
      <c r="S245" t="n">
        <v>0</v>
      </c>
      <c r="T245" t="n">
        <v>194</v>
      </c>
      <c r="U245" t="n">
        <v>0</v>
      </c>
      <c r="V245" t="n">
        <v>1310</v>
      </c>
      <c r="W245" t="n">
        <v>105.4</v>
      </c>
      <c r="X245" t="n">
        <v>3</v>
      </c>
      <c r="Y245" t="n">
        <v>28</v>
      </c>
      <c r="Z245" t="n">
        <v>354</v>
      </c>
      <c r="AA245" t="n">
        <v>21</v>
      </c>
      <c r="AB245" t="n">
        <v>266</v>
      </c>
      <c r="AC245" t="n">
        <v>64</v>
      </c>
      <c r="AD245" t="n">
        <v>804</v>
      </c>
      <c r="AE245" t="n">
        <v>354</v>
      </c>
      <c r="AF245" t="n">
        <v>804</v>
      </c>
      <c r="AG245" t="n">
        <v>100</v>
      </c>
      <c r="AH245" t="n">
        <v>62</v>
      </c>
      <c r="AI245" t="n">
        <v>0</v>
      </c>
      <c r="AJ245" t="n">
        <v>506</v>
      </c>
      <c r="AK245" t="inlineStr">
        <is>
          <t>MDS</t>
        </is>
      </c>
      <c r="AL245" t="inlineStr">
        <is>
          <t>High ESTN</t>
        </is>
      </c>
      <c r="AM245" t="inlineStr">
        <is>
          <t>P1</t>
        </is>
      </c>
      <c r="AN245" t="inlineStr">
        <is>
          <t>Critical Excess</t>
        </is>
      </c>
      <c r="AO245" t="inlineStr">
        <is>
          <t>B</t>
        </is>
      </c>
      <c r="AP245" t="inlineStr"/>
      <c r="AQ245">
        <f>IF(AM245="P1",100,IF(AM245="P2",67,IF(AM245="P3",33,0)))</f>
        <v/>
      </c>
      <c r="AR245">
        <f>MIN(100,INT(IF(AI245&gt;0,AI245/Z245,AJ245/AD245)*100))</f>
        <v/>
      </c>
      <c r="AS245">
        <f>IF(AI245+AJ245=0,0,INT(100/D245))</f>
        <v/>
      </c>
      <c r="AT245">
        <f>IF(AO245="A",100,IF(AO245="B",67,33))</f>
        <v/>
      </c>
      <c r="AU245">
        <f>ROUND(0.40*AQ245+0.30*AR245+0.20*AS245+0.10*AT245,0)</f>
        <v/>
      </c>
      <c r="AV245" t="inlineStr">
        <is>
          <t>Opening inventory of 1203 and supply of 0 exceed the demand of 87, resulting in a projected surplus of 1310. This inventory levels violates the maximum stock threshold of 804 units by 506 units, increasing holding risk.</t>
        </is>
      </c>
    </row>
    <row r="246">
      <c r="A246" t="inlineStr">
        <is>
          <t>BD-24536581-00121</t>
        </is>
      </c>
      <c r="B246" t="inlineStr">
        <is>
          <t>2026-04-17</t>
        </is>
      </c>
      <c r="C246" t="inlineStr">
        <is>
          <t>2026-03-08</t>
        </is>
      </c>
      <c r="D246" t="n">
        <v>5</v>
      </c>
      <c r="E246" t="inlineStr">
        <is>
          <t>SKU_0005</t>
        </is>
      </c>
      <c r="F246" t="inlineStr">
        <is>
          <t>DC1</t>
        </is>
      </c>
      <c r="G246" t="inlineStr">
        <is>
          <t>F1</t>
        </is>
      </c>
      <c r="H246" t="inlineStr">
        <is>
          <t>New York</t>
        </is>
      </c>
      <c r="I246" t="inlineStr">
        <is>
          <t>Northeast</t>
        </is>
      </c>
      <c r="J246" t="n">
        <v>40.7128</v>
      </c>
      <c r="K246" t="n">
        <v>-74.006</v>
      </c>
      <c r="L246" t="inlineStr">
        <is>
          <t>DC</t>
        </is>
      </c>
      <c r="M246" t="inlineStr">
        <is>
          <t>Medical Devices &amp; Diagnostics</t>
        </is>
      </c>
      <c r="N246" t="n">
        <v>1310</v>
      </c>
      <c r="O246" t="n">
        <v>80</v>
      </c>
      <c r="P246" t="n">
        <v>0</v>
      </c>
      <c r="Q246" t="n">
        <v>80</v>
      </c>
      <c r="R246" t="n">
        <v>0</v>
      </c>
      <c r="S246" t="n">
        <v>225</v>
      </c>
      <c r="T246" t="n">
        <v>225</v>
      </c>
      <c r="U246" t="n">
        <v>0</v>
      </c>
      <c r="V246" t="n">
        <v>1455</v>
      </c>
      <c r="W246" t="n">
        <v>127.3</v>
      </c>
      <c r="X246" t="n">
        <v>3</v>
      </c>
      <c r="Y246" t="n">
        <v>28</v>
      </c>
      <c r="Z246" t="n">
        <v>354</v>
      </c>
      <c r="AA246" t="n">
        <v>21</v>
      </c>
      <c r="AB246" t="n">
        <v>266</v>
      </c>
      <c r="AC246" t="n">
        <v>64</v>
      </c>
      <c r="AD246" t="n">
        <v>804</v>
      </c>
      <c r="AE246" t="n">
        <v>354</v>
      </c>
      <c r="AF246" t="n">
        <v>804</v>
      </c>
      <c r="AG246" t="n">
        <v>100</v>
      </c>
      <c r="AH246" t="n">
        <v>80</v>
      </c>
      <c r="AI246" t="n">
        <v>0</v>
      </c>
      <c r="AJ246" t="n">
        <v>651</v>
      </c>
      <c r="AK246" t="inlineStr">
        <is>
          <t>MDS</t>
        </is>
      </c>
      <c r="AL246" t="inlineStr">
        <is>
          <t>High ESTN</t>
        </is>
      </c>
      <c r="AM246" t="inlineStr">
        <is>
          <t>P1</t>
        </is>
      </c>
      <c r="AN246" t="inlineStr">
        <is>
          <t>Critical Excess</t>
        </is>
      </c>
      <c r="AO246" t="inlineStr">
        <is>
          <t>B</t>
        </is>
      </c>
      <c r="AP246" t="inlineStr"/>
      <c r="AQ246">
        <f>IF(AM246="P1",100,IF(AM246="P2",67,IF(AM246="P3",33,0)))</f>
        <v/>
      </c>
      <c r="AR246">
        <f>MIN(100,INT(IF(AI246&gt;0,AI246/Z246,AJ246/AD246)*100))</f>
        <v/>
      </c>
      <c r="AS246">
        <f>IF(AI246+AJ246=0,0,INT(100/D246))</f>
        <v/>
      </c>
      <c r="AT246">
        <f>IF(AO246="A",100,IF(AO246="B",67,33))</f>
        <v/>
      </c>
      <c r="AU246">
        <f>ROUND(0.40*AQ246+0.30*AR246+0.20*AS246+0.10*AT246,0)</f>
        <v/>
      </c>
      <c r="AV246" t="inlineStr">
        <is>
          <t>Opening inventory of 1310 and supply of 225 exceed the demand of 80, resulting in a projected surplus of 1455. This inventory levels violates the maximum stock threshold of 804 units by 651 units, increasing holding risk.</t>
        </is>
      </c>
    </row>
    <row r="247">
      <c r="A247" t="inlineStr">
        <is>
          <t>BD-24536581-00122</t>
        </is>
      </c>
      <c r="B247" t="inlineStr">
        <is>
          <t>2026-04-17</t>
        </is>
      </c>
      <c r="C247" t="inlineStr">
        <is>
          <t>2026-03-15</t>
        </is>
      </c>
      <c r="D247" t="n">
        <v>6</v>
      </c>
      <c r="E247" t="inlineStr">
        <is>
          <t>SKU_0005</t>
        </is>
      </c>
      <c r="F247" t="inlineStr">
        <is>
          <t>DC1</t>
        </is>
      </c>
      <c r="G247" t="inlineStr">
        <is>
          <t>F1</t>
        </is>
      </c>
      <c r="H247" t="inlineStr">
        <is>
          <t>New York</t>
        </is>
      </c>
      <c r="I247" t="inlineStr">
        <is>
          <t>Northeast</t>
        </is>
      </c>
      <c r="J247" t="n">
        <v>40.7128</v>
      </c>
      <c r="K247" t="n">
        <v>-74.006</v>
      </c>
      <c r="L247" t="inlineStr">
        <is>
          <t>DC</t>
        </is>
      </c>
      <c r="M247" t="inlineStr">
        <is>
          <t>Medical Devices &amp; Diagnostics</t>
        </is>
      </c>
      <c r="N247" t="n">
        <v>1455</v>
      </c>
      <c r="O247" t="n">
        <v>83</v>
      </c>
      <c r="P247" t="n">
        <v>0</v>
      </c>
      <c r="Q247" t="n">
        <v>83</v>
      </c>
      <c r="R247" t="n">
        <v>0</v>
      </c>
      <c r="S247" t="n">
        <v>610</v>
      </c>
      <c r="T247" t="n">
        <v>610</v>
      </c>
      <c r="U247" t="n">
        <v>0</v>
      </c>
      <c r="V247" t="n">
        <v>1982</v>
      </c>
      <c r="W247" t="n">
        <v>167.2</v>
      </c>
      <c r="X247" t="n">
        <v>3</v>
      </c>
      <c r="Y247" t="n">
        <v>28</v>
      </c>
      <c r="Z247" t="n">
        <v>354</v>
      </c>
      <c r="AA247" t="n">
        <v>21</v>
      </c>
      <c r="AB247" t="n">
        <v>266</v>
      </c>
      <c r="AC247" t="n">
        <v>64</v>
      </c>
      <c r="AD247" t="n">
        <v>804</v>
      </c>
      <c r="AE247" t="n">
        <v>354</v>
      </c>
      <c r="AF247" t="n">
        <v>804</v>
      </c>
      <c r="AG247" t="n">
        <v>100</v>
      </c>
      <c r="AH247" t="n">
        <v>146</v>
      </c>
      <c r="AI247" t="n">
        <v>0</v>
      </c>
      <c r="AJ247" t="n">
        <v>1178</v>
      </c>
      <c r="AK247" t="inlineStr">
        <is>
          <t>MDS</t>
        </is>
      </c>
      <c r="AL247" t="inlineStr">
        <is>
          <t>High ESTN</t>
        </is>
      </c>
      <c r="AM247" t="inlineStr">
        <is>
          <t>P1</t>
        </is>
      </c>
      <c r="AN247" t="inlineStr">
        <is>
          <t>Critical Excess</t>
        </is>
      </c>
      <c r="AO247" t="inlineStr">
        <is>
          <t>B</t>
        </is>
      </c>
      <c r="AP247" t="inlineStr"/>
      <c r="AQ247">
        <f>IF(AM247="P1",100,IF(AM247="P2",67,IF(AM247="P3",33,0)))</f>
        <v/>
      </c>
      <c r="AR247">
        <f>MIN(100,INT(IF(AI247&gt;0,AI247/Z247,AJ247/AD247)*100))</f>
        <v/>
      </c>
      <c r="AS247">
        <f>IF(AI247+AJ247=0,0,INT(100/D247))</f>
        <v/>
      </c>
      <c r="AT247">
        <f>IF(AO247="A",100,IF(AO247="B",67,33))</f>
        <v/>
      </c>
      <c r="AU247">
        <f>ROUND(0.40*AQ247+0.30*AR247+0.20*AS247+0.10*AT247,0)</f>
        <v/>
      </c>
      <c r="AV247" t="inlineStr">
        <is>
          <t>Opening inventory of 1455 and supply of 610 exceed the demand of 83, resulting in a projected surplus of 1982. This inventory levels violates the maximum stock threshold of 804 units by 1178 units, increasing holding risk.</t>
        </is>
      </c>
    </row>
    <row r="248">
      <c r="A248" t="inlineStr">
        <is>
          <t>BD-24536581-00123</t>
        </is>
      </c>
      <c r="B248" t="inlineStr">
        <is>
          <t>2026-04-17</t>
        </is>
      </c>
      <c r="C248" t="inlineStr">
        <is>
          <t>2026-03-22</t>
        </is>
      </c>
      <c r="D248" t="n">
        <v>7</v>
      </c>
      <c r="E248" t="inlineStr">
        <is>
          <t>SKU_0005</t>
        </is>
      </c>
      <c r="F248" t="inlineStr">
        <is>
          <t>DC1</t>
        </is>
      </c>
      <c r="G248" t="inlineStr">
        <is>
          <t>F1</t>
        </is>
      </c>
      <c r="H248" t="inlineStr">
        <is>
          <t>New York</t>
        </is>
      </c>
      <c r="I248" t="inlineStr">
        <is>
          <t>Northeast</t>
        </is>
      </c>
      <c r="J248" t="n">
        <v>40.7128</v>
      </c>
      <c r="K248" t="n">
        <v>-74.006</v>
      </c>
      <c r="L248" t="inlineStr">
        <is>
          <t>DC</t>
        </is>
      </c>
      <c r="M248" t="inlineStr">
        <is>
          <t>Medical Devices &amp; Diagnostics</t>
        </is>
      </c>
      <c r="N248" t="n">
        <v>1982</v>
      </c>
      <c r="O248" t="n">
        <v>85</v>
      </c>
      <c r="P248" t="n">
        <v>0</v>
      </c>
      <c r="Q248" t="n">
        <v>85</v>
      </c>
      <c r="R248" t="n">
        <v>0</v>
      </c>
      <c r="S248" t="n">
        <v>0</v>
      </c>
      <c r="T248" t="n">
        <v>0</v>
      </c>
      <c r="U248" t="n">
        <v>0</v>
      </c>
      <c r="V248" t="n">
        <v>1897</v>
      </c>
      <c r="W248" t="n">
        <v>156.2</v>
      </c>
      <c r="X248" t="n">
        <v>3</v>
      </c>
      <c r="Y248" t="n">
        <v>28</v>
      </c>
      <c r="Z248" t="n">
        <v>354</v>
      </c>
      <c r="AA248" t="n">
        <v>21</v>
      </c>
      <c r="AB248" t="n">
        <v>266</v>
      </c>
      <c r="AC248" t="n">
        <v>64</v>
      </c>
      <c r="AD248" t="n">
        <v>804</v>
      </c>
      <c r="AE248" t="n">
        <v>354</v>
      </c>
      <c r="AF248" t="n">
        <v>804</v>
      </c>
      <c r="AG248" t="n">
        <v>100</v>
      </c>
      <c r="AH248" t="n">
        <v>135</v>
      </c>
      <c r="AI248" t="n">
        <v>0</v>
      </c>
      <c r="AJ248" t="n">
        <v>1093</v>
      </c>
      <c r="AK248" t="inlineStr">
        <is>
          <t>MDS</t>
        </is>
      </c>
      <c r="AL248" t="inlineStr">
        <is>
          <t>High ESTN</t>
        </is>
      </c>
      <c r="AM248" t="inlineStr">
        <is>
          <t>P1</t>
        </is>
      </c>
      <c r="AN248" t="inlineStr">
        <is>
          <t>Critical Excess</t>
        </is>
      </c>
      <c r="AO248" t="inlineStr">
        <is>
          <t>B</t>
        </is>
      </c>
      <c r="AP248" t="inlineStr"/>
      <c r="AQ248">
        <f>IF(AM248="P1",100,IF(AM248="P2",67,IF(AM248="P3",33,0)))</f>
        <v/>
      </c>
      <c r="AR248">
        <f>MIN(100,INT(IF(AI248&gt;0,AI248/Z248,AJ248/AD248)*100))</f>
        <v/>
      </c>
      <c r="AS248">
        <f>IF(AI248+AJ248=0,0,INT(100/D248))</f>
        <v/>
      </c>
      <c r="AT248">
        <f>IF(AO248="A",100,IF(AO248="B",67,33))</f>
        <v/>
      </c>
      <c r="AU248">
        <f>ROUND(0.40*AQ248+0.30*AR248+0.20*AS248+0.10*AT248,0)</f>
        <v/>
      </c>
      <c r="AV248" t="inlineStr">
        <is>
          <t>Opening inventory of 1982 and supply of 0 exceed the demand of 85, resulting in a projected surplus of 1897. This inventory levels violates the maximum stock threshold of 804 units by 1093 units, increasing holding risk.</t>
        </is>
      </c>
    </row>
    <row r="249">
      <c r="A249" t="inlineStr">
        <is>
          <t>BD-24536581-00124</t>
        </is>
      </c>
      <c r="B249" t="inlineStr">
        <is>
          <t>2026-04-17</t>
        </is>
      </c>
      <c r="C249" t="inlineStr">
        <is>
          <t>2026-03-29</t>
        </is>
      </c>
      <c r="D249" t="n">
        <v>8</v>
      </c>
      <c r="E249" t="inlineStr">
        <is>
          <t>SKU_0005</t>
        </is>
      </c>
      <c r="F249" t="inlineStr">
        <is>
          <t>DC1</t>
        </is>
      </c>
      <c r="G249" t="inlineStr">
        <is>
          <t>F1</t>
        </is>
      </c>
      <c r="H249" t="inlineStr">
        <is>
          <t>New York</t>
        </is>
      </c>
      <c r="I249" t="inlineStr">
        <is>
          <t>Northeast</t>
        </is>
      </c>
      <c r="J249" t="n">
        <v>40.7128</v>
      </c>
      <c r="K249" t="n">
        <v>-74.006</v>
      </c>
      <c r="L249" t="inlineStr">
        <is>
          <t>DC</t>
        </is>
      </c>
      <c r="M249" t="inlineStr">
        <is>
          <t>Medical Devices &amp; Diagnostics</t>
        </is>
      </c>
      <c r="N249" t="n">
        <v>1897</v>
      </c>
      <c r="O249" t="n">
        <v>80</v>
      </c>
      <c r="P249" t="n">
        <v>0</v>
      </c>
      <c r="Q249" t="n">
        <v>80</v>
      </c>
      <c r="R249" t="n">
        <v>0</v>
      </c>
      <c r="S249" t="n">
        <v>575</v>
      </c>
      <c r="T249" t="n">
        <v>575</v>
      </c>
      <c r="U249" t="n">
        <v>0</v>
      </c>
      <c r="V249" t="n">
        <v>2392</v>
      </c>
      <c r="W249" t="n">
        <v>209.3</v>
      </c>
      <c r="X249" t="n">
        <v>3</v>
      </c>
      <c r="Y249" t="n">
        <v>28</v>
      </c>
      <c r="Z249" t="n">
        <v>354</v>
      </c>
      <c r="AA249" t="n">
        <v>21</v>
      </c>
      <c r="AB249" t="n">
        <v>266</v>
      </c>
      <c r="AC249" t="n">
        <v>64</v>
      </c>
      <c r="AD249" t="n">
        <v>804</v>
      </c>
      <c r="AE249" t="n">
        <v>354</v>
      </c>
      <c r="AF249" t="n">
        <v>804</v>
      </c>
      <c r="AG249" t="n">
        <v>100</v>
      </c>
      <c r="AH249" t="n">
        <v>197</v>
      </c>
      <c r="AI249" t="n">
        <v>0</v>
      </c>
      <c r="AJ249" t="n">
        <v>1588</v>
      </c>
      <c r="AK249" t="inlineStr">
        <is>
          <t>MDS</t>
        </is>
      </c>
      <c r="AL249" t="inlineStr">
        <is>
          <t>High ESTN</t>
        </is>
      </c>
      <c r="AM249" t="inlineStr">
        <is>
          <t>P1</t>
        </is>
      </c>
      <c r="AN249" t="inlineStr">
        <is>
          <t>Critical Excess</t>
        </is>
      </c>
      <c r="AO249" t="inlineStr">
        <is>
          <t>B</t>
        </is>
      </c>
      <c r="AP249" t="inlineStr"/>
      <c r="AQ249">
        <f>IF(AM249="P1",100,IF(AM249="P2",67,IF(AM249="P3",33,0)))</f>
        <v/>
      </c>
      <c r="AR249">
        <f>MIN(100,INT(IF(AI249&gt;0,AI249/Z249,AJ249/AD249)*100))</f>
        <v/>
      </c>
      <c r="AS249">
        <f>IF(AI249+AJ249=0,0,INT(100/D249))</f>
        <v/>
      </c>
      <c r="AT249">
        <f>IF(AO249="A",100,IF(AO249="B",67,33))</f>
        <v/>
      </c>
      <c r="AU249">
        <f>ROUND(0.40*AQ249+0.30*AR249+0.20*AS249+0.10*AT249,0)</f>
        <v/>
      </c>
      <c r="AV249" t="inlineStr">
        <is>
          <t>Opening inventory of 1897 and supply of 575 exceed the demand of 80, resulting in a projected surplus of 2392. This inventory levels violates the maximum stock threshold of 804 units by 1588 units, increasing holding risk.</t>
        </is>
      </c>
    </row>
    <row r="250">
      <c r="A250" t="inlineStr">
        <is>
          <t>BD-24536581-00125</t>
        </is>
      </c>
      <c r="B250" t="inlineStr">
        <is>
          <t>2026-04-17</t>
        </is>
      </c>
      <c r="C250" t="inlineStr">
        <is>
          <t>2026-04-05</t>
        </is>
      </c>
      <c r="D250" t="n">
        <v>9</v>
      </c>
      <c r="E250" t="inlineStr">
        <is>
          <t>SKU_0005</t>
        </is>
      </c>
      <c r="F250" t="inlineStr">
        <is>
          <t>DC1</t>
        </is>
      </c>
      <c r="G250" t="inlineStr">
        <is>
          <t>F1</t>
        </is>
      </c>
      <c r="H250" t="inlineStr">
        <is>
          <t>New York</t>
        </is>
      </c>
      <c r="I250" t="inlineStr">
        <is>
          <t>Northeast</t>
        </is>
      </c>
      <c r="J250" t="n">
        <v>40.7128</v>
      </c>
      <c r="K250" t="n">
        <v>-74.006</v>
      </c>
      <c r="L250" t="inlineStr">
        <is>
          <t>DC</t>
        </is>
      </c>
      <c r="M250" t="inlineStr">
        <is>
          <t>Medical Devices &amp; Diagnostics</t>
        </is>
      </c>
      <c r="N250" t="n">
        <v>2392</v>
      </c>
      <c r="O250" t="n">
        <v>93</v>
      </c>
      <c r="P250" t="n">
        <v>0</v>
      </c>
      <c r="Q250" t="n">
        <v>93</v>
      </c>
      <c r="R250" t="n">
        <v>0</v>
      </c>
      <c r="S250" t="n">
        <v>135</v>
      </c>
      <c r="T250" t="n">
        <v>135</v>
      </c>
      <c r="U250" t="n">
        <v>0</v>
      </c>
      <c r="V250" t="n">
        <v>2434</v>
      </c>
      <c r="W250" t="n">
        <v>183.2</v>
      </c>
      <c r="X250" t="n">
        <v>3</v>
      </c>
      <c r="Y250" t="n">
        <v>28</v>
      </c>
      <c r="Z250" t="n">
        <v>354</v>
      </c>
      <c r="AA250" t="n">
        <v>21</v>
      </c>
      <c r="AB250" t="n">
        <v>266</v>
      </c>
      <c r="AC250" t="n">
        <v>64</v>
      </c>
      <c r="AD250" t="n">
        <v>804</v>
      </c>
      <c r="AE250" t="n">
        <v>354</v>
      </c>
      <c r="AF250" t="n">
        <v>804</v>
      </c>
      <c r="AG250" t="n">
        <v>100</v>
      </c>
      <c r="AH250" t="n">
        <v>202</v>
      </c>
      <c r="AI250" t="n">
        <v>0</v>
      </c>
      <c r="AJ250" t="n">
        <v>1630</v>
      </c>
      <c r="AK250" t="inlineStr">
        <is>
          <t>MDS</t>
        </is>
      </c>
      <c r="AL250" t="inlineStr">
        <is>
          <t>High ESTN</t>
        </is>
      </c>
      <c r="AM250" t="inlineStr">
        <is>
          <t>P1</t>
        </is>
      </c>
      <c r="AN250" t="inlineStr">
        <is>
          <t>Critical Excess</t>
        </is>
      </c>
      <c r="AO250" t="inlineStr">
        <is>
          <t>B</t>
        </is>
      </c>
      <c r="AP250" t="inlineStr"/>
      <c r="AQ250">
        <f>IF(AM250="P1",100,IF(AM250="P2",67,IF(AM250="P3",33,0)))</f>
        <v/>
      </c>
      <c r="AR250">
        <f>MIN(100,INT(IF(AI250&gt;0,AI250/Z250,AJ250/AD250)*100))</f>
        <v/>
      </c>
      <c r="AS250">
        <f>IF(AI250+AJ250=0,0,INT(100/D250))</f>
        <v/>
      </c>
      <c r="AT250">
        <f>IF(AO250="A",100,IF(AO250="B",67,33))</f>
        <v/>
      </c>
      <c r="AU250">
        <f>ROUND(0.40*AQ250+0.30*AR250+0.20*AS250+0.10*AT250,0)</f>
        <v/>
      </c>
      <c r="AV250" t="inlineStr">
        <is>
          <t>Opening inventory of 2392 and supply of 135 exceed the demand of 93, resulting in a projected surplus of 2434. This inventory levels violates the maximum stock threshold of 804 units by 1630 units, increasing holding risk.</t>
        </is>
      </c>
    </row>
    <row r="251">
      <c r="A251" t="inlineStr">
        <is>
          <t>BD-24536581-00126</t>
        </is>
      </c>
      <c r="B251" t="inlineStr">
        <is>
          <t>2026-04-17</t>
        </is>
      </c>
      <c r="C251" t="inlineStr">
        <is>
          <t>2026-04-12</t>
        </is>
      </c>
      <c r="D251" t="n">
        <v>10</v>
      </c>
      <c r="E251" t="inlineStr">
        <is>
          <t>SKU_0005</t>
        </is>
      </c>
      <c r="F251" t="inlineStr">
        <is>
          <t>DC1</t>
        </is>
      </c>
      <c r="G251" t="inlineStr">
        <is>
          <t>F1</t>
        </is>
      </c>
      <c r="H251" t="inlineStr">
        <is>
          <t>New York</t>
        </is>
      </c>
      <c r="I251" t="inlineStr">
        <is>
          <t>Northeast</t>
        </is>
      </c>
      <c r="J251" t="n">
        <v>40.7128</v>
      </c>
      <c r="K251" t="n">
        <v>-74.006</v>
      </c>
      <c r="L251" t="inlineStr">
        <is>
          <t>DC</t>
        </is>
      </c>
      <c r="M251" t="inlineStr">
        <is>
          <t>Medical Devices &amp; Diagnostics</t>
        </is>
      </c>
      <c r="N251" t="n">
        <v>2434</v>
      </c>
      <c r="O251" t="n">
        <v>104</v>
      </c>
      <c r="P251" t="n">
        <v>0</v>
      </c>
      <c r="Q251" t="n">
        <v>104</v>
      </c>
      <c r="R251" t="n">
        <v>243</v>
      </c>
      <c r="S251" t="n">
        <v>0</v>
      </c>
      <c r="T251" t="n">
        <v>243</v>
      </c>
      <c r="U251" t="n">
        <v>0</v>
      </c>
      <c r="V251" t="n">
        <v>2573</v>
      </c>
      <c r="W251" t="n">
        <v>173.2</v>
      </c>
      <c r="X251" t="n">
        <v>3</v>
      </c>
      <c r="Y251" t="n">
        <v>28</v>
      </c>
      <c r="Z251" t="n">
        <v>354</v>
      </c>
      <c r="AA251" t="n">
        <v>21</v>
      </c>
      <c r="AB251" t="n">
        <v>266</v>
      </c>
      <c r="AC251" t="n">
        <v>64</v>
      </c>
      <c r="AD251" t="n">
        <v>804</v>
      </c>
      <c r="AE251" t="n">
        <v>354</v>
      </c>
      <c r="AF251" t="n">
        <v>804</v>
      </c>
      <c r="AG251" t="n">
        <v>100</v>
      </c>
      <c r="AH251" t="n">
        <v>220</v>
      </c>
      <c r="AI251" t="n">
        <v>0</v>
      </c>
      <c r="AJ251" t="n">
        <v>1769</v>
      </c>
      <c r="AK251" t="inlineStr">
        <is>
          <t>MDS</t>
        </is>
      </c>
      <c r="AL251" t="inlineStr">
        <is>
          <t>High ESTN</t>
        </is>
      </c>
      <c r="AM251" t="inlineStr">
        <is>
          <t>P1</t>
        </is>
      </c>
      <c r="AN251" t="inlineStr">
        <is>
          <t>Critical Excess</t>
        </is>
      </c>
      <c r="AO251" t="inlineStr">
        <is>
          <t>B</t>
        </is>
      </c>
      <c r="AP251" t="inlineStr"/>
      <c r="AQ251">
        <f>IF(AM251="P1",100,IF(AM251="P2",67,IF(AM251="P3",33,0)))</f>
        <v/>
      </c>
      <c r="AR251">
        <f>MIN(100,INT(IF(AI251&gt;0,AI251/Z251,AJ251/AD251)*100))</f>
        <v/>
      </c>
      <c r="AS251">
        <f>IF(AI251+AJ251=0,0,INT(100/D251))</f>
        <v/>
      </c>
      <c r="AT251">
        <f>IF(AO251="A",100,IF(AO251="B",67,33))</f>
        <v/>
      </c>
      <c r="AU251">
        <f>ROUND(0.40*AQ251+0.30*AR251+0.20*AS251+0.10*AT251,0)</f>
        <v/>
      </c>
      <c r="AV251" t="inlineStr">
        <is>
          <t>Opening inventory of 2434 and supply of 0 exceed the demand of 104, resulting in a projected surplus of 2573. This inventory levels violates the maximum stock threshold of 804 units by 1769 units, increasing holding risk.</t>
        </is>
      </c>
    </row>
    <row r="252">
      <c r="A252" t="inlineStr">
        <is>
          <t>BD-24536581-00127</t>
        </is>
      </c>
      <c r="B252" t="inlineStr">
        <is>
          <t>2026-04-17</t>
        </is>
      </c>
      <c r="C252" t="inlineStr">
        <is>
          <t>2026-04-19</t>
        </is>
      </c>
      <c r="D252" t="n">
        <v>11</v>
      </c>
      <c r="E252" t="inlineStr">
        <is>
          <t>SKU_0005</t>
        </is>
      </c>
      <c r="F252" t="inlineStr">
        <is>
          <t>DC1</t>
        </is>
      </c>
      <c r="G252" t="inlineStr">
        <is>
          <t>F1</t>
        </is>
      </c>
      <c r="H252" t="inlineStr">
        <is>
          <t>New York</t>
        </is>
      </c>
      <c r="I252" t="inlineStr">
        <is>
          <t>Northeast</t>
        </is>
      </c>
      <c r="J252" t="n">
        <v>40.7128</v>
      </c>
      <c r="K252" t="n">
        <v>-74.006</v>
      </c>
      <c r="L252" t="inlineStr">
        <is>
          <t>DC</t>
        </is>
      </c>
      <c r="M252" t="inlineStr">
        <is>
          <t>Medical Devices &amp; Diagnostics</t>
        </is>
      </c>
      <c r="N252" t="n">
        <v>2573</v>
      </c>
      <c r="O252" t="n">
        <v>101</v>
      </c>
      <c r="P252" t="n">
        <v>0</v>
      </c>
      <c r="Q252" t="n">
        <v>101</v>
      </c>
      <c r="R252" t="n">
        <v>0</v>
      </c>
      <c r="S252" t="n">
        <v>0</v>
      </c>
      <c r="T252" t="n">
        <v>0</v>
      </c>
      <c r="U252" t="n">
        <v>0</v>
      </c>
      <c r="V252" t="n">
        <v>2472</v>
      </c>
      <c r="W252" t="n">
        <v>171.3</v>
      </c>
      <c r="X252" t="n">
        <v>3</v>
      </c>
      <c r="Y252" t="n">
        <v>28</v>
      </c>
      <c r="Z252" t="n">
        <v>354</v>
      </c>
      <c r="AA252" t="n">
        <v>21</v>
      </c>
      <c r="AB252" t="n">
        <v>266</v>
      </c>
      <c r="AC252" t="n">
        <v>64</v>
      </c>
      <c r="AD252" t="n">
        <v>804</v>
      </c>
      <c r="AE252" t="n">
        <v>354</v>
      </c>
      <c r="AF252" t="n">
        <v>804</v>
      </c>
      <c r="AG252" t="n">
        <v>100</v>
      </c>
      <c r="AH252" t="n">
        <v>207</v>
      </c>
      <c r="AI252" t="n">
        <v>0</v>
      </c>
      <c r="AJ252" t="n">
        <v>1668</v>
      </c>
      <c r="AK252" t="inlineStr">
        <is>
          <t>MDS</t>
        </is>
      </c>
      <c r="AL252" t="inlineStr">
        <is>
          <t>High ESTN</t>
        </is>
      </c>
      <c r="AM252" t="inlineStr">
        <is>
          <t>P1</t>
        </is>
      </c>
      <c r="AN252" t="inlineStr">
        <is>
          <t>Critical Excess</t>
        </is>
      </c>
      <c r="AO252" t="inlineStr">
        <is>
          <t>B</t>
        </is>
      </c>
      <c r="AP252" t="inlineStr"/>
      <c r="AQ252">
        <f>IF(AM252="P1",100,IF(AM252="P2",67,IF(AM252="P3",33,0)))</f>
        <v/>
      </c>
      <c r="AR252">
        <f>MIN(100,INT(IF(AI252&gt;0,AI252/Z252,AJ252/AD252)*100))</f>
        <v/>
      </c>
      <c r="AS252">
        <f>IF(AI252+AJ252=0,0,INT(100/D252))</f>
        <v/>
      </c>
      <c r="AT252">
        <f>IF(AO252="A",100,IF(AO252="B",67,33))</f>
        <v/>
      </c>
      <c r="AU252">
        <f>ROUND(0.40*AQ252+0.30*AR252+0.20*AS252+0.10*AT252,0)</f>
        <v/>
      </c>
      <c r="AV252" t="inlineStr">
        <is>
          <t>Opening inventory of 2573 and supply of 0 exceed the demand of 101, resulting in a projected surplus of 2472. This inventory levels violates the maximum stock threshold of 804 units by 1668 units, increasing holding risk.</t>
        </is>
      </c>
    </row>
    <row r="253">
      <c r="A253" t="inlineStr">
        <is>
          <t>BD-24536581-00128</t>
        </is>
      </c>
      <c r="B253" t="inlineStr">
        <is>
          <t>2026-04-17</t>
        </is>
      </c>
      <c r="C253" t="inlineStr">
        <is>
          <t>2026-04-26</t>
        </is>
      </c>
      <c r="D253" t="n">
        <v>12</v>
      </c>
      <c r="E253" t="inlineStr">
        <is>
          <t>SKU_0005</t>
        </is>
      </c>
      <c r="F253" t="inlineStr">
        <is>
          <t>DC1</t>
        </is>
      </c>
      <c r="G253" t="inlineStr">
        <is>
          <t>F1</t>
        </is>
      </c>
      <c r="H253" t="inlineStr">
        <is>
          <t>New York</t>
        </is>
      </c>
      <c r="I253" t="inlineStr">
        <is>
          <t>Northeast</t>
        </is>
      </c>
      <c r="J253" t="n">
        <v>40.7128</v>
      </c>
      <c r="K253" t="n">
        <v>-74.006</v>
      </c>
      <c r="L253" t="inlineStr">
        <is>
          <t>DC</t>
        </is>
      </c>
      <c r="M253" t="inlineStr">
        <is>
          <t>Medical Devices &amp; Diagnostics</t>
        </is>
      </c>
      <c r="N253" t="n">
        <v>2472</v>
      </c>
      <c r="O253" t="n">
        <v>89</v>
      </c>
      <c r="P253" t="n">
        <v>0</v>
      </c>
      <c r="Q253" t="n">
        <v>89</v>
      </c>
      <c r="R253" t="n">
        <v>0</v>
      </c>
      <c r="S253" t="n">
        <v>0</v>
      </c>
      <c r="T253" t="n">
        <v>0</v>
      </c>
      <c r="U253" t="n">
        <v>0</v>
      </c>
      <c r="V253" t="n">
        <v>2383</v>
      </c>
      <c r="W253" t="n">
        <v>187.4</v>
      </c>
      <c r="X253" t="n">
        <v>3</v>
      </c>
      <c r="Y253" t="n">
        <v>28</v>
      </c>
      <c r="Z253" t="n">
        <v>354</v>
      </c>
      <c r="AA253" t="n">
        <v>21</v>
      </c>
      <c r="AB253" t="n">
        <v>266</v>
      </c>
      <c r="AC253" t="n">
        <v>64</v>
      </c>
      <c r="AD253" t="n">
        <v>804</v>
      </c>
      <c r="AE253" t="n">
        <v>354</v>
      </c>
      <c r="AF253" t="n">
        <v>804</v>
      </c>
      <c r="AG253" t="n">
        <v>100</v>
      </c>
      <c r="AH253" t="n">
        <v>196</v>
      </c>
      <c r="AI253" t="n">
        <v>0</v>
      </c>
      <c r="AJ253" t="n">
        <v>1579</v>
      </c>
      <c r="AK253" t="inlineStr">
        <is>
          <t>MDS</t>
        </is>
      </c>
      <c r="AL253" t="inlineStr">
        <is>
          <t>High ESTN</t>
        </is>
      </c>
      <c r="AM253" t="inlineStr">
        <is>
          <t>P1</t>
        </is>
      </c>
      <c r="AN253" t="inlineStr">
        <is>
          <t>Critical Excess</t>
        </is>
      </c>
      <c r="AO253" t="inlineStr">
        <is>
          <t>B</t>
        </is>
      </c>
      <c r="AP253" t="inlineStr"/>
      <c r="AQ253">
        <f>IF(AM253="P1",100,IF(AM253="P2",67,IF(AM253="P3",33,0)))</f>
        <v/>
      </c>
      <c r="AR253">
        <f>MIN(100,INT(IF(AI253&gt;0,AI253/Z253,AJ253/AD253)*100))</f>
        <v/>
      </c>
      <c r="AS253">
        <f>IF(AI253+AJ253=0,0,INT(100/D253))</f>
        <v/>
      </c>
      <c r="AT253">
        <f>IF(AO253="A",100,IF(AO253="B",67,33))</f>
        <v/>
      </c>
      <c r="AU253">
        <f>ROUND(0.40*AQ253+0.30*AR253+0.20*AS253+0.10*AT253,0)</f>
        <v/>
      </c>
      <c r="AV253" t="inlineStr">
        <is>
          <t>Opening inventory of 2472 and supply of 0 exceed the demand of 89, resulting in a projected surplus of 2383. This inventory levels violates the maximum stock threshold of 804 units by 1579 units, increasing holding risk.</t>
        </is>
      </c>
    </row>
    <row r="254">
      <c r="A254" t="inlineStr"/>
      <c r="B254" t="inlineStr">
        <is>
          <t>2026-04-17</t>
        </is>
      </c>
      <c r="C254" t="inlineStr">
        <is>
          <t>2026-02-08</t>
        </is>
      </c>
      <c r="D254" t="n">
        <v>1</v>
      </c>
      <c r="E254" t="inlineStr">
        <is>
          <t>SKU_0005</t>
        </is>
      </c>
      <c r="F254" t="inlineStr">
        <is>
          <t>DC2</t>
        </is>
      </c>
      <c r="G254" t="inlineStr">
        <is>
          <t>F1</t>
        </is>
      </c>
      <c r="H254" t="inlineStr">
        <is>
          <t>Los Angeles</t>
        </is>
      </c>
      <c r="I254" t="inlineStr">
        <is>
          <t>West</t>
        </is>
      </c>
      <c r="J254" t="n">
        <v>34.0522</v>
      </c>
      <c r="K254" t="n">
        <v>-118.2437</v>
      </c>
      <c r="L254" t="inlineStr">
        <is>
          <t>DC</t>
        </is>
      </c>
      <c r="M254" t="inlineStr">
        <is>
          <t>Medical Devices &amp; Diagnostics</t>
        </is>
      </c>
      <c r="N254" t="n">
        <v>111</v>
      </c>
      <c r="O254" t="n">
        <v>13</v>
      </c>
      <c r="P254" t="n">
        <v>0</v>
      </c>
      <c r="Q254" t="n">
        <v>13</v>
      </c>
      <c r="R254" t="n">
        <v>0</v>
      </c>
      <c r="S254" t="n">
        <v>0</v>
      </c>
      <c r="T254" t="n">
        <v>0</v>
      </c>
      <c r="U254" t="n">
        <v>0</v>
      </c>
      <c r="V254" t="n">
        <v>98</v>
      </c>
      <c r="W254" t="n">
        <v>52.8</v>
      </c>
      <c r="X254" t="n">
        <v>4</v>
      </c>
      <c r="Y254" t="n">
        <v>28</v>
      </c>
      <c r="Z254" t="n">
        <v>61</v>
      </c>
      <c r="AA254" t="n">
        <v>28</v>
      </c>
      <c r="AB254" t="n">
        <v>61</v>
      </c>
      <c r="AC254" t="n">
        <v>86</v>
      </c>
      <c r="AD254" t="n">
        <v>188</v>
      </c>
      <c r="AE254" t="n">
        <v>61</v>
      </c>
      <c r="AF254" t="n">
        <v>188</v>
      </c>
      <c r="AG254" t="n">
        <v>100</v>
      </c>
      <c r="AH254" t="n">
        <v>0</v>
      </c>
      <c r="AI254" t="n">
        <v>0</v>
      </c>
      <c r="AJ254" t="n">
        <v>0</v>
      </c>
      <c r="AK254" t="inlineStr">
        <is>
          <t>MDS</t>
        </is>
      </c>
      <c r="AL254" t="inlineStr">
        <is>
          <t>None</t>
        </is>
      </c>
      <c r="AM254" t="inlineStr">
        <is>
          <t>None</t>
        </is>
      </c>
      <c r="AN254" t="inlineStr">
        <is>
          <t>Healthy</t>
        </is>
      </c>
      <c r="AO254" t="inlineStr">
        <is>
          <t>B</t>
        </is>
      </c>
      <c r="AP254" t="inlineStr"/>
      <c r="AQ254">
        <f>IF(AM254="P1",100,IF(AM254="P2",67,IF(AM254="P3",33,0)))</f>
        <v/>
      </c>
      <c r="AR254">
        <f>MIN(100,INT(IF(AI254&gt;0,AI254/Z254,AJ254/AD254)*100))</f>
        <v/>
      </c>
      <c r="AS254">
        <f>IF(AI254+AJ254=0,0,INT(100/D254))</f>
        <v/>
      </c>
      <c r="AT254">
        <f>IF(AO254="A",100,IF(AO254="B",67,33))</f>
        <v/>
      </c>
      <c r="AU254">
        <f>ROUND(0.40*AQ254+0.30*AR254+0.20*AS254+0.10*AT254,0)</f>
        <v/>
      </c>
      <c r="AV254" t="inlineStr"/>
    </row>
    <row r="255">
      <c r="A255" t="inlineStr"/>
      <c r="B255" t="inlineStr">
        <is>
          <t>2026-04-17</t>
        </is>
      </c>
      <c r="C255" t="inlineStr">
        <is>
          <t>2026-02-15</t>
        </is>
      </c>
      <c r="D255" t="n">
        <v>2</v>
      </c>
      <c r="E255" t="inlineStr">
        <is>
          <t>SKU_0005</t>
        </is>
      </c>
      <c r="F255" t="inlineStr">
        <is>
          <t>DC2</t>
        </is>
      </c>
      <c r="G255" t="inlineStr">
        <is>
          <t>F1</t>
        </is>
      </c>
      <c r="H255" t="inlineStr">
        <is>
          <t>Los Angeles</t>
        </is>
      </c>
      <c r="I255" t="inlineStr">
        <is>
          <t>West</t>
        </is>
      </c>
      <c r="J255" t="n">
        <v>34.0522</v>
      </c>
      <c r="K255" t="n">
        <v>-118.2437</v>
      </c>
      <c r="L255" t="inlineStr">
        <is>
          <t>DC</t>
        </is>
      </c>
      <c r="M255" t="inlineStr">
        <is>
          <t>Medical Devices &amp; Diagnostics</t>
        </is>
      </c>
      <c r="N255" t="n">
        <v>98</v>
      </c>
      <c r="O255" t="n">
        <v>7</v>
      </c>
      <c r="P255" t="n">
        <v>0</v>
      </c>
      <c r="Q255" t="n">
        <v>7</v>
      </c>
      <c r="R255" t="n">
        <v>0</v>
      </c>
      <c r="S255" t="n">
        <v>0</v>
      </c>
      <c r="T255" t="n">
        <v>0</v>
      </c>
      <c r="U255" t="n">
        <v>0</v>
      </c>
      <c r="V255" t="n">
        <v>91</v>
      </c>
      <c r="W255" t="n">
        <v>91</v>
      </c>
      <c r="X255" t="n">
        <v>4</v>
      </c>
      <c r="Y255" t="n">
        <v>28</v>
      </c>
      <c r="Z255" t="n">
        <v>61</v>
      </c>
      <c r="AA255" t="n">
        <v>28</v>
      </c>
      <c r="AB255" t="n">
        <v>61</v>
      </c>
      <c r="AC255" t="n">
        <v>86</v>
      </c>
      <c r="AD255" t="n">
        <v>188</v>
      </c>
      <c r="AE255" t="n">
        <v>61</v>
      </c>
      <c r="AF255" t="n">
        <v>188</v>
      </c>
      <c r="AG255" t="n">
        <v>100</v>
      </c>
      <c r="AH255" t="n">
        <v>0</v>
      </c>
      <c r="AI255" t="n">
        <v>0</v>
      </c>
      <c r="AJ255" t="n">
        <v>0</v>
      </c>
      <c r="AK255" t="inlineStr">
        <is>
          <t>MDS</t>
        </is>
      </c>
      <c r="AL255" t="inlineStr">
        <is>
          <t>None</t>
        </is>
      </c>
      <c r="AM255" t="inlineStr">
        <is>
          <t>None</t>
        </is>
      </c>
      <c r="AN255" t="inlineStr">
        <is>
          <t>Healthy</t>
        </is>
      </c>
      <c r="AO255" t="inlineStr">
        <is>
          <t>B</t>
        </is>
      </c>
      <c r="AP255" t="inlineStr"/>
      <c r="AQ255">
        <f>IF(AM255="P1",100,IF(AM255="P2",67,IF(AM255="P3",33,0)))</f>
        <v/>
      </c>
      <c r="AR255">
        <f>MIN(100,INT(IF(AI255&gt;0,AI255/Z255,AJ255/AD255)*100))</f>
        <v/>
      </c>
      <c r="AS255">
        <f>IF(AI255+AJ255=0,0,INT(100/D255))</f>
        <v/>
      </c>
      <c r="AT255">
        <f>IF(AO255="A",100,IF(AO255="B",67,33))</f>
        <v/>
      </c>
      <c r="AU255">
        <f>ROUND(0.40*AQ255+0.30*AR255+0.20*AS255+0.10*AT255,0)</f>
        <v/>
      </c>
      <c r="AV255" t="inlineStr"/>
    </row>
    <row r="256">
      <c r="A256" t="inlineStr"/>
      <c r="B256" t="inlineStr">
        <is>
          <t>2026-04-17</t>
        </is>
      </c>
      <c r="C256" t="inlineStr">
        <is>
          <t>2026-02-22</t>
        </is>
      </c>
      <c r="D256" t="n">
        <v>3</v>
      </c>
      <c r="E256" t="inlineStr">
        <is>
          <t>SKU_0005</t>
        </is>
      </c>
      <c r="F256" t="inlineStr">
        <is>
          <t>DC2</t>
        </is>
      </c>
      <c r="G256" t="inlineStr">
        <is>
          <t>F1</t>
        </is>
      </c>
      <c r="H256" t="inlineStr">
        <is>
          <t>Los Angeles</t>
        </is>
      </c>
      <c r="I256" t="inlineStr">
        <is>
          <t>West</t>
        </is>
      </c>
      <c r="J256" t="n">
        <v>34.0522</v>
      </c>
      <c r="K256" t="n">
        <v>-118.2437</v>
      </c>
      <c r="L256" t="inlineStr">
        <is>
          <t>DC</t>
        </is>
      </c>
      <c r="M256" t="inlineStr">
        <is>
          <t>Medical Devices &amp; Diagnostics</t>
        </is>
      </c>
      <c r="N256" t="n">
        <v>91</v>
      </c>
      <c r="O256" t="n">
        <v>10</v>
      </c>
      <c r="P256" t="n">
        <v>0</v>
      </c>
      <c r="Q256" t="n">
        <v>10</v>
      </c>
      <c r="R256" t="n">
        <v>18</v>
      </c>
      <c r="S256" t="n">
        <v>0</v>
      </c>
      <c r="T256" t="n">
        <v>18</v>
      </c>
      <c r="U256" t="n">
        <v>0</v>
      </c>
      <c r="V256" t="n">
        <v>99</v>
      </c>
      <c r="W256" t="n">
        <v>69.3</v>
      </c>
      <c r="X256" t="n">
        <v>4</v>
      </c>
      <c r="Y256" t="n">
        <v>28</v>
      </c>
      <c r="Z256" t="n">
        <v>61</v>
      </c>
      <c r="AA256" t="n">
        <v>28</v>
      </c>
      <c r="AB256" t="n">
        <v>61</v>
      </c>
      <c r="AC256" t="n">
        <v>86</v>
      </c>
      <c r="AD256" t="n">
        <v>188</v>
      </c>
      <c r="AE256" t="n">
        <v>61</v>
      </c>
      <c r="AF256" t="n">
        <v>188</v>
      </c>
      <c r="AG256" t="n">
        <v>100</v>
      </c>
      <c r="AH256" t="n">
        <v>0</v>
      </c>
      <c r="AI256" t="n">
        <v>0</v>
      </c>
      <c r="AJ256" t="n">
        <v>0</v>
      </c>
      <c r="AK256" t="inlineStr">
        <is>
          <t>MDS</t>
        </is>
      </c>
      <c r="AL256" t="inlineStr">
        <is>
          <t>None</t>
        </is>
      </c>
      <c r="AM256" t="inlineStr">
        <is>
          <t>None</t>
        </is>
      </c>
      <c r="AN256" t="inlineStr">
        <is>
          <t>Healthy</t>
        </is>
      </c>
      <c r="AO256" t="inlineStr">
        <is>
          <t>B</t>
        </is>
      </c>
      <c r="AP256" t="inlineStr"/>
      <c r="AQ256">
        <f>IF(AM256="P1",100,IF(AM256="P2",67,IF(AM256="P3",33,0)))</f>
        <v/>
      </c>
      <c r="AR256">
        <f>MIN(100,INT(IF(AI256&gt;0,AI256/Z256,AJ256/AD256)*100))</f>
        <v/>
      </c>
      <c r="AS256">
        <f>IF(AI256+AJ256=0,0,INT(100/D256))</f>
        <v/>
      </c>
      <c r="AT256">
        <f>IF(AO256="A",100,IF(AO256="B",67,33))</f>
        <v/>
      </c>
      <c r="AU256">
        <f>ROUND(0.40*AQ256+0.30*AR256+0.20*AS256+0.10*AT256,0)</f>
        <v/>
      </c>
      <c r="AV256" t="inlineStr"/>
    </row>
    <row r="257">
      <c r="A257" t="inlineStr"/>
      <c r="B257" t="inlineStr">
        <is>
          <t>2026-04-17</t>
        </is>
      </c>
      <c r="C257" t="inlineStr">
        <is>
          <t>2026-03-01</t>
        </is>
      </c>
      <c r="D257" t="n">
        <v>4</v>
      </c>
      <c r="E257" t="inlineStr">
        <is>
          <t>SKU_0005</t>
        </is>
      </c>
      <c r="F257" t="inlineStr">
        <is>
          <t>DC2</t>
        </is>
      </c>
      <c r="G257" t="inlineStr">
        <is>
          <t>F1</t>
        </is>
      </c>
      <c r="H257" t="inlineStr">
        <is>
          <t>Los Angeles</t>
        </is>
      </c>
      <c r="I257" t="inlineStr">
        <is>
          <t>West</t>
        </is>
      </c>
      <c r="J257" t="n">
        <v>34.0522</v>
      </c>
      <c r="K257" t="n">
        <v>-118.2437</v>
      </c>
      <c r="L257" t="inlineStr">
        <is>
          <t>DC</t>
        </is>
      </c>
      <c r="M257" t="inlineStr">
        <is>
          <t>Medical Devices &amp; Diagnostics</t>
        </is>
      </c>
      <c r="N257" t="n">
        <v>99</v>
      </c>
      <c r="O257" t="n">
        <v>9</v>
      </c>
      <c r="P257" t="n">
        <v>0</v>
      </c>
      <c r="Q257" t="n">
        <v>9</v>
      </c>
      <c r="R257" t="n">
        <v>24</v>
      </c>
      <c r="S257" t="n">
        <v>0</v>
      </c>
      <c r="T257" t="n">
        <v>24</v>
      </c>
      <c r="U257" t="n">
        <v>0</v>
      </c>
      <c r="V257" t="n">
        <v>114</v>
      </c>
      <c r="W257" t="n">
        <v>88.7</v>
      </c>
      <c r="X257" t="n">
        <v>4</v>
      </c>
      <c r="Y257" t="n">
        <v>28</v>
      </c>
      <c r="Z257" t="n">
        <v>61</v>
      </c>
      <c r="AA257" t="n">
        <v>28</v>
      </c>
      <c r="AB257" t="n">
        <v>61</v>
      </c>
      <c r="AC257" t="n">
        <v>86</v>
      </c>
      <c r="AD257" t="n">
        <v>188</v>
      </c>
      <c r="AE257" t="n">
        <v>61</v>
      </c>
      <c r="AF257" t="n">
        <v>188</v>
      </c>
      <c r="AG257" t="n">
        <v>100</v>
      </c>
      <c r="AH257" t="n">
        <v>0</v>
      </c>
      <c r="AI257" t="n">
        <v>0</v>
      </c>
      <c r="AJ257" t="n">
        <v>0</v>
      </c>
      <c r="AK257" t="inlineStr">
        <is>
          <t>MDS</t>
        </is>
      </c>
      <c r="AL257" t="inlineStr">
        <is>
          <t>None</t>
        </is>
      </c>
      <c r="AM257" t="inlineStr">
        <is>
          <t>None</t>
        </is>
      </c>
      <c r="AN257" t="inlineStr">
        <is>
          <t>Healthy</t>
        </is>
      </c>
      <c r="AO257" t="inlineStr">
        <is>
          <t>B</t>
        </is>
      </c>
      <c r="AP257" t="inlineStr"/>
      <c r="AQ257">
        <f>IF(AM257="P1",100,IF(AM257="P2",67,IF(AM257="P3",33,0)))</f>
        <v/>
      </c>
      <c r="AR257">
        <f>MIN(100,INT(IF(AI257&gt;0,AI257/Z257,AJ257/AD257)*100))</f>
        <v/>
      </c>
      <c r="AS257">
        <f>IF(AI257+AJ257=0,0,INT(100/D257))</f>
        <v/>
      </c>
      <c r="AT257">
        <f>IF(AO257="A",100,IF(AO257="B",67,33))</f>
        <v/>
      </c>
      <c r="AU257">
        <f>ROUND(0.40*AQ257+0.30*AR257+0.20*AS257+0.10*AT257,0)</f>
        <v/>
      </c>
      <c r="AV257" t="inlineStr"/>
    </row>
    <row r="258">
      <c r="A258" t="inlineStr"/>
      <c r="B258" t="inlineStr">
        <is>
          <t>2026-04-17</t>
        </is>
      </c>
      <c r="C258" t="inlineStr">
        <is>
          <t>2026-03-08</t>
        </is>
      </c>
      <c r="D258" t="n">
        <v>5</v>
      </c>
      <c r="E258" t="inlineStr">
        <is>
          <t>SKU_0005</t>
        </is>
      </c>
      <c r="F258" t="inlineStr">
        <is>
          <t>DC2</t>
        </is>
      </c>
      <c r="G258" t="inlineStr">
        <is>
          <t>F1</t>
        </is>
      </c>
      <c r="H258" t="inlineStr">
        <is>
          <t>Los Angeles</t>
        </is>
      </c>
      <c r="I258" t="inlineStr">
        <is>
          <t>West</t>
        </is>
      </c>
      <c r="J258" t="n">
        <v>34.0522</v>
      </c>
      <c r="K258" t="n">
        <v>-118.2437</v>
      </c>
      <c r="L258" t="inlineStr">
        <is>
          <t>DC</t>
        </is>
      </c>
      <c r="M258" t="inlineStr">
        <is>
          <t>Medical Devices &amp; Diagnostics</t>
        </is>
      </c>
      <c r="N258" t="n">
        <v>114</v>
      </c>
      <c r="O258" t="n">
        <v>9</v>
      </c>
      <c r="P258" t="n">
        <v>0</v>
      </c>
      <c r="Q258" t="n">
        <v>9</v>
      </c>
      <c r="R258" t="n">
        <v>44</v>
      </c>
      <c r="S258" t="n">
        <v>0</v>
      </c>
      <c r="T258" t="n">
        <v>44</v>
      </c>
      <c r="U258" t="n">
        <v>0</v>
      </c>
      <c r="V258" t="n">
        <v>149</v>
      </c>
      <c r="W258" t="n">
        <v>115.9</v>
      </c>
      <c r="X258" t="n">
        <v>4</v>
      </c>
      <c r="Y258" t="n">
        <v>28</v>
      </c>
      <c r="Z258" t="n">
        <v>61</v>
      </c>
      <c r="AA258" t="n">
        <v>28</v>
      </c>
      <c r="AB258" t="n">
        <v>61</v>
      </c>
      <c r="AC258" t="n">
        <v>86</v>
      </c>
      <c r="AD258" t="n">
        <v>188</v>
      </c>
      <c r="AE258" t="n">
        <v>61</v>
      </c>
      <c r="AF258" t="n">
        <v>188</v>
      </c>
      <c r="AG258" t="n">
        <v>100</v>
      </c>
      <c r="AH258" t="n">
        <v>0</v>
      </c>
      <c r="AI258" t="n">
        <v>0</v>
      </c>
      <c r="AJ258" t="n">
        <v>0</v>
      </c>
      <c r="AK258" t="inlineStr">
        <is>
          <t>MDS</t>
        </is>
      </c>
      <c r="AL258" t="inlineStr">
        <is>
          <t>None</t>
        </is>
      </c>
      <c r="AM258" t="inlineStr">
        <is>
          <t>None</t>
        </is>
      </c>
      <c r="AN258" t="inlineStr">
        <is>
          <t>Healthy</t>
        </is>
      </c>
      <c r="AO258" t="inlineStr">
        <is>
          <t>B</t>
        </is>
      </c>
      <c r="AP258" t="inlineStr"/>
      <c r="AQ258">
        <f>IF(AM258="P1",100,IF(AM258="P2",67,IF(AM258="P3",33,0)))</f>
        <v/>
      </c>
      <c r="AR258">
        <f>MIN(100,INT(IF(AI258&gt;0,AI258/Z258,AJ258/AD258)*100))</f>
        <v/>
      </c>
      <c r="AS258">
        <f>IF(AI258+AJ258=0,0,INT(100/D258))</f>
        <v/>
      </c>
      <c r="AT258">
        <f>IF(AO258="A",100,IF(AO258="B",67,33))</f>
        <v/>
      </c>
      <c r="AU258">
        <f>ROUND(0.40*AQ258+0.30*AR258+0.20*AS258+0.10*AT258,0)</f>
        <v/>
      </c>
      <c r="AV258" t="inlineStr"/>
    </row>
    <row r="259">
      <c r="A259" t="inlineStr"/>
      <c r="B259" t="inlineStr">
        <is>
          <t>2026-04-17</t>
        </is>
      </c>
      <c r="C259" t="inlineStr">
        <is>
          <t>2026-03-15</t>
        </is>
      </c>
      <c r="D259" t="n">
        <v>6</v>
      </c>
      <c r="E259" t="inlineStr">
        <is>
          <t>SKU_0005</t>
        </is>
      </c>
      <c r="F259" t="inlineStr">
        <is>
          <t>DC2</t>
        </is>
      </c>
      <c r="G259" t="inlineStr">
        <is>
          <t>F1</t>
        </is>
      </c>
      <c r="H259" t="inlineStr">
        <is>
          <t>Los Angeles</t>
        </is>
      </c>
      <c r="I259" t="inlineStr">
        <is>
          <t>West</t>
        </is>
      </c>
      <c r="J259" t="n">
        <v>34.0522</v>
      </c>
      <c r="K259" t="n">
        <v>-118.2437</v>
      </c>
      <c r="L259" t="inlineStr">
        <is>
          <t>DC</t>
        </is>
      </c>
      <c r="M259" t="inlineStr">
        <is>
          <t>Medical Devices &amp; Diagnostics</t>
        </is>
      </c>
      <c r="N259" t="n">
        <v>149</v>
      </c>
      <c r="O259" t="n">
        <v>11</v>
      </c>
      <c r="P259" t="n">
        <v>0</v>
      </c>
      <c r="Q259" t="n">
        <v>11</v>
      </c>
      <c r="R259" t="n">
        <v>27</v>
      </c>
      <c r="S259" t="n">
        <v>0</v>
      </c>
      <c r="T259" t="n">
        <v>27</v>
      </c>
      <c r="U259" t="n">
        <v>0</v>
      </c>
      <c r="V259" t="n">
        <v>165</v>
      </c>
      <c r="W259" t="n">
        <v>105</v>
      </c>
      <c r="X259" t="n">
        <v>4</v>
      </c>
      <c r="Y259" t="n">
        <v>28</v>
      </c>
      <c r="Z259" t="n">
        <v>61</v>
      </c>
      <c r="AA259" t="n">
        <v>28</v>
      </c>
      <c r="AB259" t="n">
        <v>61</v>
      </c>
      <c r="AC259" t="n">
        <v>86</v>
      </c>
      <c r="AD259" t="n">
        <v>188</v>
      </c>
      <c r="AE259" t="n">
        <v>61</v>
      </c>
      <c r="AF259" t="n">
        <v>188</v>
      </c>
      <c r="AG259" t="n">
        <v>100</v>
      </c>
      <c r="AH259" t="n">
        <v>0</v>
      </c>
      <c r="AI259" t="n">
        <v>0</v>
      </c>
      <c r="AJ259" t="n">
        <v>0</v>
      </c>
      <c r="AK259" t="inlineStr">
        <is>
          <t>MDS</t>
        </is>
      </c>
      <c r="AL259" t="inlineStr">
        <is>
          <t>None</t>
        </is>
      </c>
      <c r="AM259" t="inlineStr">
        <is>
          <t>None</t>
        </is>
      </c>
      <c r="AN259" t="inlineStr">
        <is>
          <t>Healthy</t>
        </is>
      </c>
      <c r="AO259" t="inlineStr">
        <is>
          <t>B</t>
        </is>
      </c>
      <c r="AP259" t="inlineStr"/>
      <c r="AQ259">
        <f>IF(AM259="P1",100,IF(AM259="P2",67,IF(AM259="P3",33,0)))</f>
        <v/>
      </c>
      <c r="AR259">
        <f>MIN(100,INT(IF(AI259&gt;0,AI259/Z259,AJ259/AD259)*100))</f>
        <v/>
      </c>
      <c r="AS259">
        <f>IF(AI259+AJ259=0,0,INT(100/D259))</f>
        <v/>
      </c>
      <c r="AT259">
        <f>IF(AO259="A",100,IF(AO259="B",67,33))</f>
        <v/>
      </c>
      <c r="AU259">
        <f>ROUND(0.40*AQ259+0.30*AR259+0.20*AS259+0.10*AT259,0)</f>
        <v/>
      </c>
      <c r="AV259" t="inlineStr"/>
    </row>
    <row r="260">
      <c r="A260" t="inlineStr"/>
      <c r="B260" t="inlineStr">
        <is>
          <t>2026-04-17</t>
        </is>
      </c>
      <c r="C260" t="inlineStr">
        <is>
          <t>2026-03-22</t>
        </is>
      </c>
      <c r="D260" t="n">
        <v>7</v>
      </c>
      <c r="E260" t="inlineStr">
        <is>
          <t>SKU_0005</t>
        </is>
      </c>
      <c r="F260" t="inlineStr">
        <is>
          <t>DC2</t>
        </is>
      </c>
      <c r="G260" t="inlineStr">
        <is>
          <t>F1</t>
        </is>
      </c>
      <c r="H260" t="inlineStr">
        <is>
          <t>Los Angeles</t>
        </is>
      </c>
      <c r="I260" t="inlineStr">
        <is>
          <t>West</t>
        </is>
      </c>
      <c r="J260" t="n">
        <v>34.0522</v>
      </c>
      <c r="K260" t="n">
        <v>-118.2437</v>
      </c>
      <c r="L260" t="inlineStr">
        <is>
          <t>DC</t>
        </is>
      </c>
      <c r="M260" t="inlineStr">
        <is>
          <t>Medical Devices &amp; Diagnostics</t>
        </is>
      </c>
      <c r="N260" t="n">
        <v>165</v>
      </c>
      <c r="O260" t="n">
        <v>22</v>
      </c>
      <c r="P260" t="n">
        <v>0</v>
      </c>
      <c r="Q260" t="n">
        <v>22</v>
      </c>
      <c r="R260" t="n">
        <v>0</v>
      </c>
      <c r="S260" t="n">
        <v>45</v>
      </c>
      <c r="T260" t="n">
        <v>45</v>
      </c>
      <c r="U260" t="n">
        <v>0</v>
      </c>
      <c r="V260" t="n">
        <v>188</v>
      </c>
      <c r="W260" t="n">
        <v>59.8</v>
      </c>
      <c r="X260" t="n">
        <v>4</v>
      </c>
      <c r="Y260" t="n">
        <v>28</v>
      </c>
      <c r="Z260" t="n">
        <v>61</v>
      </c>
      <c r="AA260" t="n">
        <v>28</v>
      </c>
      <c r="AB260" t="n">
        <v>61</v>
      </c>
      <c r="AC260" t="n">
        <v>86</v>
      </c>
      <c r="AD260" t="n">
        <v>188</v>
      </c>
      <c r="AE260" t="n">
        <v>61</v>
      </c>
      <c r="AF260" t="n">
        <v>188</v>
      </c>
      <c r="AG260" t="n">
        <v>100</v>
      </c>
      <c r="AH260" t="n">
        <v>0</v>
      </c>
      <c r="AI260" t="n">
        <v>0</v>
      </c>
      <c r="AJ260" t="n">
        <v>0</v>
      </c>
      <c r="AK260" t="inlineStr">
        <is>
          <t>MDS</t>
        </is>
      </c>
      <c r="AL260" t="inlineStr">
        <is>
          <t>None</t>
        </is>
      </c>
      <c r="AM260" t="inlineStr">
        <is>
          <t>None</t>
        </is>
      </c>
      <c r="AN260" t="inlineStr">
        <is>
          <t>Healthy</t>
        </is>
      </c>
      <c r="AO260" t="inlineStr">
        <is>
          <t>B</t>
        </is>
      </c>
      <c r="AP260" t="inlineStr"/>
      <c r="AQ260">
        <f>IF(AM260="P1",100,IF(AM260="P2",67,IF(AM260="P3",33,0)))</f>
        <v/>
      </c>
      <c r="AR260">
        <f>MIN(100,INT(IF(AI260&gt;0,AI260/Z260,AJ260/AD260)*100))</f>
        <v/>
      </c>
      <c r="AS260">
        <f>IF(AI260+AJ260=0,0,INT(100/D260))</f>
        <v/>
      </c>
      <c r="AT260">
        <f>IF(AO260="A",100,IF(AO260="B",67,33))</f>
        <v/>
      </c>
      <c r="AU260">
        <f>ROUND(0.40*AQ260+0.30*AR260+0.20*AS260+0.10*AT260,0)</f>
        <v/>
      </c>
      <c r="AV260" t="inlineStr"/>
    </row>
    <row r="261">
      <c r="A261" t="inlineStr"/>
      <c r="B261" t="inlineStr">
        <is>
          <t>2026-04-17</t>
        </is>
      </c>
      <c r="C261" t="inlineStr">
        <is>
          <t>2026-03-29</t>
        </is>
      </c>
      <c r="D261" t="n">
        <v>8</v>
      </c>
      <c r="E261" t="inlineStr">
        <is>
          <t>SKU_0005</t>
        </is>
      </c>
      <c r="F261" t="inlineStr">
        <is>
          <t>DC2</t>
        </is>
      </c>
      <c r="G261" t="inlineStr">
        <is>
          <t>F1</t>
        </is>
      </c>
      <c r="H261" t="inlineStr">
        <is>
          <t>Los Angeles</t>
        </is>
      </c>
      <c r="I261" t="inlineStr">
        <is>
          <t>West</t>
        </is>
      </c>
      <c r="J261" t="n">
        <v>34.0522</v>
      </c>
      <c r="K261" t="n">
        <v>-118.2437</v>
      </c>
      <c r="L261" t="inlineStr">
        <is>
          <t>DC</t>
        </is>
      </c>
      <c r="M261" t="inlineStr">
        <is>
          <t>Medical Devices &amp; Diagnostics</t>
        </is>
      </c>
      <c r="N261" t="n">
        <v>188</v>
      </c>
      <c r="O261" t="n">
        <v>13</v>
      </c>
      <c r="P261" t="n">
        <v>0</v>
      </c>
      <c r="Q261" t="n">
        <v>13</v>
      </c>
      <c r="R261" t="n">
        <v>0</v>
      </c>
      <c r="S261" t="n">
        <v>44</v>
      </c>
      <c r="T261" t="n">
        <v>44</v>
      </c>
      <c r="U261" t="n">
        <v>0</v>
      </c>
      <c r="V261" t="n">
        <v>219</v>
      </c>
      <c r="W261" t="n">
        <v>117.9</v>
      </c>
      <c r="X261" t="n">
        <v>4</v>
      </c>
      <c r="Y261" t="n">
        <v>28</v>
      </c>
      <c r="Z261" t="n">
        <v>61</v>
      </c>
      <c r="AA261" t="n">
        <v>28</v>
      </c>
      <c r="AB261" t="n">
        <v>61</v>
      </c>
      <c r="AC261" t="n">
        <v>86</v>
      </c>
      <c r="AD261" t="n">
        <v>188</v>
      </c>
      <c r="AE261" t="n">
        <v>61</v>
      </c>
      <c r="AF261" t="n">
        <v>188</v>
      </c>
      <c r="AG261" t="n">
        <v>100</v>
      </c>
      <c r="AH261" t="n">
        <v>16</v>
      </c>
      <c r="AI261" t="n">
        <v>0</v>
      </c>
      <c r="AJ261" t="n">
        <v>31</v>
      </c>
      <c r="AK261" t="inlineStr">
        <is>
          <t>MDS</t>
        </is>
      </c>
      <c r="AL261" t="inlineStr">
        <is>
          <t>None</t>
        </is>
      </c>
      <c r="AM261" t="inlineStr">
        <is>
          <t>None</t>
        </is>
      </c>
      <c r="AN261" t="inlineStr">
        <is>
          <t>Healthy</t>
        </is>
      </c>
      <c r="AO261" t="inlineStr">
        <is>
          <t>B</t>
        </is>
      </c>
      <c r="AP261" t="inlineStr"/>
      <c r="AQ261">
        <f>IF(AM261="P1",100,IF(AM261="P2",67,IF(AM261="P3",33,0)))</f>
        <v/>
      </c>
      <c r="AR261">
        <f>MIN(100,INT(IF(AI261&gt;0,AI261/Z261,AJ261/AD261)*100))</f>
        <v/>
      </c>
      <c r="AS261">
        <f>IF(AI261+AJ261=0,0,INT(100/D261))</f>
        <v/>
      </c>
      <c r="AT261">
        <f>IF(AO261="A",100,IF(AO261="B",67,33))</f>
        <v/>
      </c>
      <c r="AU261">
        <f>ROUND(0.40*AQ261+0.30*AR261+0.20*AS261+0.10*AT261,0)</f>
        <v/>
      </c>
      <c r="AV261" t="inlineStr"/>
    </row>
    <row r="262">
      <c r="A262" t="inlineStr"/>
      <c r="B262" t="inlineStr">
        <is>
          <t>2026-04-17</t>
        </is>
      </c>
      <c r="C262" t="inlineStr">
        <is>
          <t>2026-04-05</t>
        </is>
      </c>
      <c r="D262" t="n">
        <v>9</v>
      </c>
      <c r="E262" t="inlineStr">
        <is>
          <t>SKU_0005</t>
        </is>
      </c>
      <c r="F262" t="inlineStr">
        <is>
          <t>DC2</t>
        </is>
      </c>
      <c r="G262" t="inlineStr">
        <is>
          <t>F1</t>
        </is>
      </c>
      <c r="H262" t="inlineStr">
        <is>
          <t>Los Angeles</t>
        </is>
      </c>
      <c r="I262" t="inlineStr">
        <is>
          <t>West</t>
        </is>
      </c>
      <c r="J262" t="n">
        <v>34.0522</v>
      </c>
      <c r="K262" t="n">
        <v>-118.2437</v>
      </c>
      <c r="L262" t="inlineStr">
        <is>
          <t>DC</t>
        </is>
      </c>
      <c r="M262" t="inlineStr">
        <is>
          <t>Medical Devices &amp; Diagnostics</t>
        </is>
      </c>
      <c r="N262" t="n">
        <v>219</v>
      </c>
      <c r="O262" t="n">
        <v>18</v>
      </c>
      <c r="P262" t="n">
        <v>0</v>
      </c>
      <c r="Q262" t="n">
        <v>18</v>
      </c>
      <c r="R262" t="n">
        <v>20</v>
      </c>
      <c r="S262" t="n">
        <v>0</v>
      </c>
      <c r="T262" t="n">
        <v>20</v>
      </c>
      <c r="U262" t="n">
        <v>0</v>
      </c>
      <c r="V262" t="n">
        <v>221</v>
      </c>
      <c r="W262" t="n">
        <v>85.90000000000001</v>
      </c>
      <c r="X262" t="n">
        <v>4</v>
      </c>
      <c r="Y262" t="n">
        <v>28</v>
      </c>
      <c r="Z262" t="n">
        <v>61</v>
      </c>
      <c r="AA262" t="n">
        <v>28</v>
      </c>
      <c r="AB262" t="n">
        <v>61</v>
      </c>
      <c r="AC262" t="n">
        <v>86</v>
      </c>
      <c r="AD262" t="n">
        <v>188</v>
      </c>
      <c r="AE262" t="n">
        <v>61</v>
      </c>
      <c r="AF262" t="n">
        <v>188</v>
      </c>
      <c r="AG262" t="n">
        <v>100</v>
      </c>
      <c r="AH262" t="n">
        <v>17</v>
      </c>
      <c r="AI262" t="n">
        <v>0</v>
      </c>
      <c r="AJ262" t="n">
        <v>33</v>
      </c>
      <c r="AK262" t="inlineStr">
        <is>
          <t>MDS</t>
        </is>
      </c>
      <c r="AL262" t="inlineStr">
        <is>
          <t>None</t>
        </is>
      </c>
      <c r="AM262" t="inlineStr">
        <is>
          <t>None</t>
        </is>
      </c>
      <c r="AN262" t="inlineStr">
        <is>
          <t>Healthy</t>
        </is>
      </c>
      <c r="AO262" t="inlineStr">
        <is>
          <t>B</t>
        </is>
      </c>
      <c r="AP262" t="inlineStr"/>
      <c r="AQ262">
        <f>IF(AM262="P1",100,IF(AM262="P2",67,IF(AM262="P3",33,0)))</f>
        <v/>
      </c>
      <c r="AR262">
        <f>MIN(100,INT(IF(AI262&gt;0,AI262/Z262,AJ262/AD262)*100))</f>
        <v/>
      </c>
      <c r="AS262">
        <f>IF(AI262+AJ262=0,0,INT(100/D262))</f>
        <v/>
      </c>
      <c r="AT262">
        <f>IF(AO262="A",100,IF(AO262="B",67,33))</f>
        <v/>
      </c>
      <c r="AU262">
        <f>ROUND(0.40*AQ262+0.30*AR262+0.20*AS262+0.10*AT262,0)</f>
        <v/>
      </c>
      <c r="AV262" t="inlineStr"/>
    </row>
    <row r="263">
      <c r="A263" t="inlineStr"/>
      <c r="B263" t="inlineStr">
        <is>
          <t>2026-04-17</t>
        </is>
      </c>
      <c r="C263" t="inlineStr">
        <is>
          <t>2026-04-12</t>
        </is>
      </c>
      <c r="D263" t="n">
        <v>10</v>
      </c>
      <c r="E263" t="inlineStr">
        <is>
          <t>SKU_0005</t>
        </is>
      </c>
      <c r="F263" t="inlineStr">
        <is>
          <t>DC2</t>
        </is>
      </c>
      <c r="G263" t="inlineStr">
        <is>
          <t>F1</t>
        </is>
      </c>
      <c r="H263" t="inlineStr">
        <is>
          <t>Los Angeles</t>
        </is>
      </c>
      <c r="I263" t="inlineStr">
        <is>
          <t>West</t>
        </is>
      </c>
      <c r="J263" t="n">
        <v>34.0522</v>
      </c>
      <c r="K263" t="n">
        <v>-118.2437</v>
      </c>
      <c r="L263" t="inlineStr">
        <is>
          <t>DC</t>
        </is>
      </c>
      <c r="M263" t="inlineStr">
        <is>
          <t>Medical Devices &amp; Diagnostics</t>
        </is>
      </c>
      <c r="N263" t="n">
        <v>221</v>
      </c>
      <c r="O263" t="n">
        <v>20</v>
      </c>
      <c r="P263" t="n">
        <v>0</v>
      </c>
      <c r="Q263" t="n">
        <v>20</v>
      </c>
      <c r="R263" t="n">
        <v>0</v>
      </c>
      <c r="S263" t="n">
        <v>27</v>
      </c>
      <c r="T263" t="n">
        <v>27</v>
      </c>
      <c r="U263" t="n">
        <v>0</v>
      </c>
      <c r="V263" t="n">
        <v>228</v>
      </c>
      <c r="W263" t="n">
        <v>79.8</v>
      </c>
      <c r="X263" t="n">
        <v>4</v>
      </c>
      <c r="Y263" t="n">
        <v>28</v>
      </c>
      <c r="Z263" t="n">
        <v>61</v>
      </c>
      <c r="AA263" t="n">
        <v>28</v>
      </c>
      <c r="AB263" t="n">
        <v>61</v>
      </c>
      <c r="AC263" t="n">
        <v>86</v>
      </c>
      <c r="AD263" t="n">
        <v>188</v>
      </c>
      <c r="AE263" t="n">
        <v>61</v>
      </c>
      <c r="AF263" t="n">
        <v>188</v>
      </c>
      <c r="AG263" t="n">
        <v>100</v>
      </c>
      <c r="AH263" t="n">
        <v>21</v>
      </c>
      <c r="AI263" t="n">
        <v>0</v>
      </c>
      <c r="AJ263" t="n">
        <v>40</v>
      </c>
      <c r="AK263" t="inlineStr">
        <is>
          <t>MDS</t>
        </is>
      </c>
      <c r="AL263" t="inlineStr">
        <is>
          <t>None</t>
        </is>
      </c>
      <c r="AM263" t="inlineStr">
        <is>
          <t>None</t>
        </is>
      </c>
      <c r="AN263" t="inlineStr">
        <is>
          <t>Healthy</t>
        </is>
      </c>
      <c r="AO263" t="inlineStr">
        <is>
          <t>B</t>
        </is>
      </c>
      <c r="AP263" t="inlineStr"/>
      <c r="AQ263">
        <f>IF(AM263="P1",100,IF(AM263="P2",67,IF(AM263="P3",33,0)))</f>
        <v/>
      </c>
      <c r="AR263">
        <f>MIN(100,INT(IF(AI263&gt;0,AI263/Z263,AJ263/AD263)*100))</f>
        <v/>
      </c>
      <c r="AS263">
        <f>IF(AI263+AJ263=0,0,INT(100/D263))</f>
        <v/>
      </c>
      <c r="AT263">
        <f>IF(AO263="A",100,IF(AO263="B",67,33))</f>
        <v/>
      </c>
      <c r="AU263">
        <f>ROUND(0.40*AQ263+0.30*AR263+0.20*AS263+0.10*AT263,0)</f>
        <v/>
      </c>
      <c r="AV263" t="inlineStr"/>
    </row>
    <row r="264">
      <c r="A264" t="inlineStr"/>
      <c r="B264" t="inlineStr">
        <is>
          <t>2026-04-17</t>
        </is>
      </c>
      <c r="C264" t="inlineStr">
        <is>
          <t>2026-04-19</t>
        </is>
      </c>
      <c r="D264" t="n">
        <v>11</v>
      </c>
      <c r="E264" t="inlineStr">
        <is>
          <t>SKU_0005</t>
        </is>
      </c>
      <c r="F264" t="inlineStr">
        <is>
          <t>DC2</t>
        </is>
      </c>
      <c r="G264" t="inlineStr">
        <is>
          <t>F1</t>
        </is>
      </c>
      <c r="H264" t="inlineStr">
        <is>
          <t>Los Angeles</t>
        </is>
      </c>
      <c r="I264" t="inlineStr">
        <is>
          <t>West</t>
        </is>
      </c>
      <c r="J264" t="n">
        <v>34.0522</v>
      </c>
      <c r="K264" t="n">
        <v>-118.2437</v>
      </c>
      <c r="L264" t="inlineStr">
        <is>
          <t>DC</t>
        </is>
      </c>
      <c r="M264" t="inlineStr">
        <is>
          <t>Medical Devices &amp; Diagnostics</t>
        </is>
      </c>
      <c r="N264" t="n">
        <v>228</v>
      </c>
      <c r="O264" t="n">
        <v>13</v>
      </c>
      <c r="P264" t="n">
        <v>0</v>
      </c>
      <c r="Q264" t="n">
        <v>13</v>
      </c>
      <c r="R264" t="n">
        <v>0</v>
      </c>
      <c r="S264" t="n">
        <v>45</v>
      </c>
      <c r="T264" t="n">
        <v>45</v>
      </c>
      <c r="U264" t="n">
        <v>0</v>
      </c>
      <c r="V264" t="n">
        <v>260</v>
      </c>
      <c r="W264" t="n">
        <v>140</v>
      </c>
      <c r="X264" t="n">
        <v>4</v>
      </c>
      <c r="Y264" t="n">
        <v>28</v>
      </c>
      <c r="Z264" t="n">
        <v>61</v>
      </c>
      <c r="AA264" t="n">
        <v>28</v>
      </c>
      <c r="AB264" t="n">
        <v>61</v>
      </c>
      <c r="AC264" t="n">
        <v>86</v>
      </c>
      <c r="AD264" t="n">
        <v>188</v>
      </c>
      <c r="AE264" t="n">
        <v>61</v>
      </c>
      <c r="AF264" t="n">
        <v>188</v>
      </c>
      <c r="AG264" t="n">
        <v>100</v>
      </c>
      <c r="AH264" t="n">
        <v>38</v>
      </c>
      <c r="AI264" t="n">
        <v>0</v>
      </c>
      <c r="AJ264" t="n">
        <v>72</v>
      </c>
      <c r="AK264" t="inlineStr">
        <is>
          <t>MDS</t>
        </is>
      </c>
      <c r="AL264" t="inlineStr">
        <is>
          <t>None</t>
        </is>
      </c>
      <c r="AM264" t="inlineStr">
        <is>
          <t>None</t>
        </is>
      </c>
      <c r="AN264" t="inlineStr">
        <is>
          <t>Healthy</t>
        </is>
      </c>
      <c r="AO264" t="inlineStr">
        <is>
          <t>B</t>
        </is>
      </c>
      <c r="AP264" t="inlineStr"/>
      <c r="AQ264">
        <f>IF(AM264="P1",100,IF(AM264="P2",67,IF(AM264="P3",33,0)))</f>
        <v/>
      </c>
      <c r="AR264">
        <f>MIN(100,INT(IF(AI264&gt;0,AI264/Z264,AJ264/AD264)*100))</f>
        <v/>
      </c>
      <c r="AS264">
        <f>IF(AI264+AJ264=0,0,INT(100/D264))</f>
        <v/>
      </c>
      <c r="AT264">
        <f>IF(AO264="A",100,IF(AO264="B",67,33))</f>
        <v/>
      </c>
      <c r="AU264">
        <f>ROUND(0.40*AQ264+0.30*AR264+0.20*AS264+0.10*AT264,0)</f>
        <v/>
      </c>
      <c r="AV264" t="inlineStr"/>
    </row>
    <row r="265">
      <c r="A265" t="inlineStr"/>
      <c r="B265" t="inlineStr">
        <is>
          <t>2026-04-17</t>
        </is>
      </c>
      <c r="C265" t="inlineStr">
        <is>
          <t>2026-04-26</t>
        </is>
      </c>
      <c r="D265" t="n">
        <v>12</v>
      </c>
      <c r="E265" t="inlineStr">
        <is>
          <t>SKU_0005</t>
        </is>
      </c>
      <c r="F265" t="inlineStr">
        <is>
          <t>DC2</t>
        </is>
      </c>
      <c r="G265" t="inlineStr">
        <is>
          <t>F1</t>
        </is>
      </c>
      <c r="H265" t="inlineStr">
        <is>
          <t>Los Angeles</t>
        </is>
      </c>
      <c r="I265" t="inlineStr">
        <is>
          <t>West</t>
        </is>
      </c>
      <c r="J265" t="n">
        <v>34.0522</v>
      </c>
      <c r="K265" t="n">
        <v>-118.2437</v>
      </c>
      <c r="L265" t="inlineStr">
        <is>
          <t>DC</t>
        </is>
      </c>
      <c r="M265" t="inlineStr">
        <is>
          <t>Medical Devices &amp; Diagnostics</t>
        </is>
      </c>
      <c r="N265" t="n">
        <v>260</v>
      </c>
      <c r="O265" t="n">
        <v>18</v>
      </c>
      <c r="P265" t="n">
        <v>0</v>
      </c>
      <c r="Q265" t="n">
        <v>18</v>
      </c>
      <c r="R265" t="n">
        <v>0</v>
      </c>
      <c r="S265" t="n">
        <v>0</v>
      </c>
      <c r="T265" t="n">
        <v>0</v>
      </c>
      <c r="U265" t="n">
        <v>0</v>
      </c>
      <c r="V265" t="n">
        <v>242</v>
      </c>
      <c r="W265" t="n">
        <v>94.09999999999999</v>
      </c>
      <c r="X265" t="n">
        <v>4</v>
      </c>
      <c r="Y265" t="n">
        <v>28</v>
      </c>
      <c r="Z265" t="n">
        <v>61</v>
      </c>
      <c r="AA265" t="n">
        <v>28</v>
      </c>
      <c r="AB265" t="n">
        <v>61</v>
      </c>
      <c r="AC265" t="n">
        <v>86</v>
      </c>
      <c r="AD265" t="n">
        <v>188</v>
      </c>
      <c r="AE265" t="n">
        <v>61</v>
      </c>
      <c r="AF265" t="n">
        <v>188</v>
      </c>
      <c r="AG265" t="n">
        <v>100</v>
      </c>
      <c r="AH265" t="n">
        <v>28</v>
      </c>
      <c r="AI265" t="n">
        <v>0</v>
      </c>
      <c r="AJ265" t="n">
        <v>54</v>
      </c>
      <c r="AK265" t="inlineStr">
        <is>
          <t>MDS</t>
        </is>
      </c>
      <c r="AL265" t="inlineStr">
        <is>
          <t>None</t>
        </is>
      </c>
      <c r="AM265" t="inlineStr">
        <is>
          <t>None</t>
        </is>
      </c>
      <c r="AN265" t="inlineStr">
        <is>
          <t>Healthy</t>
        </is>
      </c>
      <c r="AO265" t="inlineStr">
        <is>
          <t>B</t>
        </is>
      </c>
      <c r="AP265" t="inlineStr"/>
      <c r="AQ265">
        <f>IF(AM265="P1",100,IF(AM265="P2",67,IF(AM265="P3",33,0)))</f>
        <v/>
      </c>
      <c r="AR265">
        <f>MIN(100,INT(IF(AI265&gt;0,AI265/Z265,AJ265/AD265)*100))</f>
        <v/>
      </c>
      <c r="AS265">
        <f>IF(AI265+AJ265=0,0,INT(100/D265))</f>
        <v/>
      </c>
      <c r="AT265">
        <f>IF(AO265="A",100,IF(AO265="B",67,33))</f>
        <v/>
      </c>
      <c r="AU265">
        <f>ROUND(0.40*AQ265+0.30*AR265+0.20*AS265+0.10*AT265,0)</f>
        <v/>
      </c>
      <c r="AV265" t="inlineStr"/>
    </row>
    <row r="266">
      <c r="A266" t="inlineStr"/>
      <c r="B266" t="inlineStr">
        <is>
          <t>2026-04-17</t>
        </is>
      </c>
      <c r="C266" t="inlineStr">
        <is>
          <t>2026-02-08</t>
        </is>
      </c>
      <c r="D266" t="n">
        <v>1</v>
      </c>
      <c r="E266" t="inlineStr">
        <is>
          <t>SKU_0005</t>
        </is>
      </c>
      <c r="F266" t="inlineStr">
        <is>
          <t>DC4</t>
        </is>
      </c>
      <c r="G266" t="inlineStr">
        <is>
          <t>F1</t>
        </is>
      </c>
      <c r="H266" t="inlineStr">
        <is>
          <t>Seattle</t>
        </is>
      </c>
      <c r="I266" t="inlineStr">
        <is>
          <t>Northwest</t>
        </is>
      </c>
      <c r="J266" t="n">
        <v>47.6062</v>
      </c>
      <c r="K266" t="n">
        <v>-122.3321</v>
      </c>
      <c r="L266" t="inlineStr">
        <is>
          <t>DC</t>
        </is>
      </c>
      <c r="M266" t="inlineStr">
        <is>
          <t>Medical Devices &amp; Diagnostics</t>
        </is>
      </c>
      <c r="N266" t="n">
        <v>215</v>
      </c>
      <c r="O266" t="n">
        <v>20</v>
      </c>
      <c r="P266" t="n">
        <v>0</v>
      </c>
      <c r="Q266" t="n">
        <v>20</v>
      </c>
      <c r="R266" t="n">
        <v>0</v>
      </c>
      <c r="S266" t="n">
        <v>0</v>
      </c>
      <c r="T266" t="n">
        <v>0</v>
      </c>
      <c r="U266" t="n">
        <v>0</v>
      </c>
      <c r="V266" t="n">
        <v>195</v>
      </c>
      <c r="W266" t="n">
        <v>68.2</v>
      </c>
      <c r="X266" t="n">
        <v>4</v>
      </c>
      <c r="Y266" t="n">
        <v>28</v>
      </c>
      <c r="Z266" t="n">
        <v>74</v>
      </c>
      <c r="AA266" t="n">
        <v>28</v>
      </c>
      <c r="AB266" t="n">
        <v>74</v>
      </c>
      <c r="AC266" t="n">
        <v>106</v>
      </c>
      <c r="AD266" t="n">
        <v>281</v>
      </c>
      <c r="AE266" t="n">
        <v>74</v>
      </c>
      <c r="AF266" t="n">
        <v>281</v>
      </c>
      <c r="AG266" t="n">
        <v>100</v>
      </c>
      <c r="AH266" t="n">
        <v>0</v>
      </c>
      <c r="AI266" t="n">
        <v>0</v>
      </c>
      <c r="AJ266" t="n">
        <v>0</v>
      </c>
      <c r="AK266" t="inlineStr">
        <is>
          <t>MDS</t>
        </is>
      </c>
      <c r="AL266" t="inlineStr">
        <is>
          <t>None</t>
        </is>
      </c>
      <c r="AM266" t="inlineStr">
        <is>
          <t>None</t>
        </is>
      </c>
      <c r="AN266" t="inlineStr">
        <is>
          <t>Healthy</t>
        </is>
      </c>
      <c r="AO266" t="inlineStr">
        <is>
          <t>B</t>
        </is>
      </c>
      <c r="AP266" t="inlineStr"/>
      <c r="AQ266">
        <f>IF(AM266="P1",100,IF(AM266="P2",67,IF(AM266="P3",33,0)))</f>
        <v/>
      </c>
      <c r="AR266">
        <f>MIN(100,INT(IF(AI266&gt;0,AI266/Z266,AJ266/AD266)*100))</f>
        <v/>
      </c>
      <c r="AS266">
        <f>IF(AI266+AJ266=0,0,INT(100/D266))</f>
        <v/>
      </c>
      <c r="AT266">
        <f>IF(AO266="A",100,IF(AO266="B",67,33))</f>
        <v/>
      </c>
      <c r="AU266">
        <f>ROUND(0.40*AQ266+0.30*AR266+0.20*AS266+0.10*AT266,0)</f>
        <v/>
      </c>
      <c r="AV266" t="inlineStr"/>
    </row>
    <row r="267">
      <c r="A267" t="inlineStr"/>
      <c r="B267" t="inlineStr">
        <is>
          <t>2026-04-17</t>
        </is>
      </c>
      <c r="C267" t="inlineStr">
        <is>
          <t>2026-02-15</t>
        </is>
      </c>
      <c r="D267" t="n">
        <v>2</v>
      </c>
      <c r="E267" t="inlineStr">
        <is>
          <t>SKU_0005</t>
        </is>
      </c>
      <c r="F267" t="inlineStr">
        <is>
          <t>DC4</t>
        </is>
      </c>
      <c r="G267" t="inlineStr">
        <is>
          <t>F1</t>
        </is>
      </c>
      <c r="H267" t="inlineStr">
        <is>
          <t>Seattle</t>
        </is>
      </c>
      <c r="I267" t="inlineStr">
        <is>
          <t>Northwest</t>
        </is>
      </c>
      <c r="J267" t="n">
        <v>47.6062</v>
      </c>
      <c r="K267" t="n">
        <v>-122.3321</v>
      </c>
      <c r="L267" t="inlineStr">
        <is>
          <t>DC</t>
        </is>
      </c>
      <c r="M267" t="inlineStr">
        <is>
          <t>Medical Devices &amp; Diagnostics</t>
        </is>
      </c>
      <c r="N267" t="n">
        <v>195</v>
      </c>
      <c r="O267" t="n">
        <v>22</v>
      </c>
      <c r="P267" t="n">
        <v>0</v>
      </c>
      <c r="Q267" t="n">
        <v>22</v>
      </c>
      <c r="R267" t="n">
        <v>0</v>
      </c>
      <c r="S267" t="n">
        <v>0</v>
      </c>
      <c r="T267" t="n">
        <v>0</v>
      </c>
      <c r="U267" t="n">
        <v>0</v>
      </c>
      <c r="V267" t="n">
        <v>173</v>
      </c>
      <c r="W267" t="n">
        <v>55</v>
      </c>
      <c r="X267" t="n">
        <v>4</v>
      </c>
      <c r="Y267" t="n">
        <v>28</v>
      </c>
      <c r="Z267" t="n">
        <v>74</v>
      </c>
      <c r="AA267" t="n">
        <v>28</v>
      </c>
      <c r="AB267" t="n">
        <v>74</v>
      </c>
      <c r="AC267" t="n">
        <v>106</v>
      </c>
      <c r="AD267" t="n">
        <v>281</v>
      </c>
      <c r="AE267" t="n">
        <v>74</v>
      </c>
      <c r="AF267" t="n">
        <v>281</v>
      </c>
      <c r="AG267" t="n">
        <v>100</v>
      </c>
      <c r="AH267" t="n">
        <v>0</v>
      </c>
      <c r="AI267" t="n">
        <v>0</v>
      </c>
      <c r="AJ267" t="n">
        <v>0</v>
      </c>
      <c r="AK267" t="inlineStr">
        <is>
          <t>MDS</t>
        </is>
      </c>
      <c r="AL267" t="inlineStr">
        <is>
          <t>None</t>
        </is>
      </c>
      <c r="AM267" t="inlineStr">
        <is>
          <t>None</t>
        </is>
      </c>
      <c r="AN267" t="inlineStr">
        <is>
          <t>Healthy</t>
        </is>
      </c>
      <c r="AO267" t="inlineStr">
        <is>
          <t>B</t>
        </is>
      </c>
      <c r="AP267" t="inlineStr"/>
      <c r="AQ267">
        <f>IF(AM267="P1",100,IF(AM267="P2",67,IF(AM267="P3",33,0)))</f>
        <v/>
      </c>
      <c r="AR267">
        <f>MIN(100,INT(IF(AI267&gt;0,AI267/Z267,AJ267/AD267)*100))</f>
        <v/>
      </c>
      <c r="AS267">
        <f>IF(AI267+AJ267=0,0,INT(100/D267))</f>
        <v/>
      </c>
      <c r="AT267">
        <f>IF(AO267="A",100,IF(AO267="B",67,33))</f>
        <v/>
      </c>
      <c r="AU267">
        <f>ROUND(0.40*AQ267+0.30*AR267+0.20*AS267+0.10*AT267,0)</f>
        <v/>
      </c>
      <c r="AV267" t="inlineStr"/>
    </row>
    <row r="268">
      <c r="A268" t="inlineStr"/>
      <c r="B268" t="inlineStr">
        <is>
          <t>2026-04-17</t>
        </is>
      </c>
      <c r="C268" t="inlineStr">
        <is>
          <t>2026-02-22</t>
        </is>
      </c>
      <c r="D268" t="n">
        <v>3</v>
      </c>
      <c r="E268" t="inlineStr">
        <is>
          <t>SKU_0005</t>
        </is>
      </c>
      <c r="F268" t="inlineStr">
        <is>
          <t>DC4</t>
        </is>
      </c>
      <c r="G268" t="inlineStr">
        <is>
          <t>F1</t>
        </is>
      </c>
      <c r="H268" t="inlineStr">
        <is>
          <t>Seattle</t>
        </is>
      </c>
      <c r="I268" t="inlineStr">
        <is>
          <t>Northwest</t>
        </is>
      </c>
      <c r="J268" t="n">
        <v>47.6062</v>
      </c>
      <c r="K268" t="n">
        <v>-122.3321</v>
      </c>
      <c r="L268" t="inlineStr">
        <is>
          <t>DC</t>
        </is>
      </c>
      <c r="M268" t="inlineStr">
        <is>
          <t>Medical Devices &amp; Diagnostics</t>
        </is>
      </c>
      <c r="N268" t="n">
        <v>173</v>
      </c>
      <c r="O268" t="n">
        <v>22</v>
      </c>
      <c r="P268" t="n">
        <v>0</v>
      </c>
      <c r="Q268" t="n">
        <v>22</v>
      </c>
      <c r="R268" t="n">
        <v>0</v>
      </c>
      <c r="S268" t="n">
        <v>0</v>
      </c>
      <c r="T268" t="n">
        <v>0</v>
      </c>
      <c r="U268" t="n">
        <v>0</v>
      </c>
      <c r="V268" t="n">
        <v>151</v>
      </c>
      <c r="W268" t="n">
        <v>48</v>
      </c>
      <c r="X268" t="n">
        <v>4</v>
      </c>
      <c r="Y268" t="n">
        <v>28</v>
      </c>
      <c r="Z268" t="n">
        <v>74</v>
      </c>
      <c r="AA268" t="n">
        <v>28</v>
      </c>
      <c r="AB268" t="n">
        <v>74</v>
      </c>
      <c r="AC268" t="n">
        <v>106</v>
      </c>
      <c r="AD268" t="n">
        <v>281</v>
      </c>
      <c r="AE268" t="n">
        <v>74</v>
      </c>
      <c r="AF268" t="n">
        <v>281</v>
      </c>
      <c r="AG268" t="n">
        <v>100</v>
      </c>
      <c r="AH268" t="n">
        <v>0</v>
      </c>
      <c r="AI268" t="n">
        <v>0</v>
      </c>
      <c r="AJ268" t="n">
        <v>0</v>
      </c>
      <c r="AK268" t="inlineStr">
        <is>
          <t>MDS</t>
        </is>
      </c>
      <c r="AL268" t="inlineStr">
        <is>
          <t>None</t>
        </is>
      </c>
      <c r="AM268" t="inlineStr">
        <is>
          <t>None</t>
        </is>
      </c>
      <c r="AN268" t="inlineStr">
        <is>
          <t>Healthy</t>
        </is>
      </c>
      <c r="AO268" t="inlineStr">
        <is>
          <t>B</t>
        </is>
      </c>
      <c r="AP268" t="inlineStr"/>
      <c r="AQ268">
        <f>IF(AM268="P1",100,IF(AM268="P2",67,IF(AM268="P3",33,0)))</f>
        <v/>
      </c>
      <c r="AR268">
        <f>MIN(100,INT(IF(AI268&gt;0,AI268/Z268,AJ268/AD268)*100))</f>
        <v/>
      </c>
      <c r="AS268">
        <f>IF(AI268+AJ268=0,0,INT(100/D268))</f>
        <v/>
      </c>
      <c r="AT268">
        <f>IF(AO268="A",100,IF(AO268="B",67,33))</f>
        <v/>
      </c>
      <c r="AU268">
        <f>ROUND(0.40*AQ268+0.30*AR268+0.20*AS268+0.10*AT268,0)</f>
        <v/>
      </c>
      <c r="AV268" t="inlineStr"/>
    </row>
    <row r="269">
      <c r="A269" t="inlineStr"/>
      <c r="B269" t="inlineStr">
        <is>
          <t>2026-04-17</t>
        </is>
      </c>
      <c r="C269" t="inlineStr">
        <is>
          <t>2026-03-01</t>
        </is>
      </c>
      <c r="D269" t="n">
        <v>4</v>
      </c>
      <c r="E269" t="inlineStr">
        <is>
          <t>SKU_0005</t>
        </is>
      </c>
      <c r="F269" t="inlineStr">
        <is>
          <t>DC4</t>
        </is>
      </c>
      <c r="G269" t="inlineStr">
        <is>
          <t>F1</t>
        </is>
      </c>
      <c r="H269" t="inlineStr">
        <is>
          <t>Seattle</t>
        </is>
      </c>
      <c r="I269" t="inlineStr">
        <is>
          <t>Northwest</t>
        </is>
      </c>
      <c r="J269" t="n">
        <v>47.6062</v>
      </c>
      <c r="K269" t="n">
        <v>-122.3321</v>
      </c>
      <c r="L269" t="inlineStr">
        <is>
          <t>DC</t>
        </is>
      </c>
      <c r="M269" t="inlineStr">
        <is>
          <t>Medical Devices &amp; Diagnostics</t>
        </is>
      </c>
      <c r="N269" t="n">
        <v>151</v>
      </c>
      <c r="O269" t="n">
        <v>22</v>
      </c>
      <c r="P269" t="n">
        <v>0</v>
      </c>
      <c r="Q269" t="n">
        <v>22</v>
      </c>
      <c r="R269" t="n">
        <v>0</v>
      </c>
      <c r="S269" t="n">
        <v>52</v>
      </c>
      <c r="T269" t="n">
        <v>52</v>
      </c>
      <c r="U269" t="n">
        <v>0</v>
      </c>
      <c r="V269" t="n">
        <v>181</v>
      </c>
      <c r="W269" t="n">
        <v>57.6</v>
      </c>
      <c r="X269" t="n">
        <v>4</v>
      </c>
      <c r="Y269" t="n">
        <v>28</v>
      </c>
      <c r="Z269" t="n">
        <v>74</v>
      </c>
      <c r="AA269" t="n">
        <v>28</v>
      </c>
      <c r="AB269" t="n">
        <v>74</v>
      </c>
      <c r="AC269" t="n">
        <v>106</v>
      </c>
      <c r="AD269" t="n">
        <v>281</v>
      </c>
      <c r="AE269" t="n">
        <v>74</v>
      </c>
      <c r="AF269" t="n">
        <v>281</v>
      </c>
      <c r="AG269" t="n">
        <v>100</v>
      </c>
      <c r="AH269" t="n">
        <v>0</v>
      </c>
      <c r="AI269" t="n">
        <v>0</v>
      </c>
      <c r="AJ269" t="n">
        <v>0</v>
      </c>
      <c r="AK269" t="inlineStr">
        <is>
          <t>MDS</t>
        </is>
      </c>
      <c r="AL269" t="inlineStr">
        <is>
          <t>None</t>
        </is>
      </c>
      <c r="AM269" t="inlineStr">
        <is>
          <t>None</t>
        </is>
      </c>
      <c r="AN269" t="inlineStr">
        <is>
          <t>Healthy</t>
        </is>
      </c>
      <c r="AO269" t="inlineStr">
        <is>
          <t>B</t>
        </is>
      </c>
      <c r="AP269" t="inlineStr"/>
      <c r="AQ269">
        <f>IF(AM269="P1",100,IF(AM269="P2",67,IF(AM269="P3",33,0)))</f>
        <v/>
      </c>
      <c r="AR269">
        <f>MIN(100,INT(IF(AI269&gt;0,AI269/Z269,AJ269/AD269)*100))</f>
        <v/>
      </c>
      <c r="AS269">
        <f>IF(AI269+AJ269=0,0,INT(100/D269))</f>
        <v/>
      </c>
      <c r="AT269">
        <f>IF(AO269="A",100,IF(AO269="B",67,33))</f>
        <v/>
      </c>
      <c r="AU269">
        <f>ROUND(0.40*AQ269+0.30*AR269+0.20*AS269+0.10*AT269,0)</f>
        <v/>
      </c>
      <c r="AV269" t="inlineStr"/>
    </row>
    <row r="270">
      <c r="A270" t="inlineStr">
        <is>
          <t>BD-24536581-00129</t>
        </is>
      </c>
      <c r="B270" t="inlineStr">
        <is>
          <t>2026-04-17</t>
        </is>
      </c>
      <c r="C270" t="inlineStr">
        <is>
          <t>2026-03-08</t>
        </is>
      </c>
      <c r="D270" t="n">
        <v>5</v>
      </c>
      <c r="E270" t="inlineStr">
        <is>
          <t>SKU_0005</t>
        </is>
      </c>
      <c r="F270" t="inlineStr">
        <is>
          <t>DC4</t>
        </is>
      </c>
      <c r="G270" t="inlineStr">
        <is>
          <t>F1</t>
        </is>
      </c>
      <c r="H270" t="inlineStr">
        <is>
          <t>Seattle</t>
        </is>
      </c>
      <c r="I270" t="inlineStr">
        <is>
          <t>Northwest</t>
        </is>
      </c>
      <c r="J270" t="n">
        <v>47.6062</v>
      </c>
      <c r="K270" t="n">
        <v>-122.3321</v>
      </c>
      <c r="L270" t="inlineStr">
        <is>
          <t>DC</t>
        </is>
      </c>
      <c r="M270" t="inlineStr">
        <is>
          <t>Medical Devices &amp; Diagnostics</t>
        </is>
      </c>
      <c r="N270" t="n">
        <v>181</v>
      </c>
      <c r="O270" t="n">
        <v>17</v>
      </c>
      <c r="P270" t="n">
        <v>0</v>
      </c>
      <c r="Q270" t="n">
        <v>17</v>
      </c>
      <c r="R270" t="n">
        <v>0</v>
      </c>
      <c r="S270" t="n">
        <v>129</v>
      </c>
      <c r="T270" t="n">
        <v>129</v>
      </c>
      <c r="U270" t="n">
        <v>0</v>
      </c>
      <c r="V270" t="n">
        <v>293</v>
      </c>
      <c r="W270" t="n">
        <v>120.6</v>
      </c>
      <c r="X270" t="n">
        <v>4</v>
      </c>
      <c r="Y270" t="n">
        <v>28</v>
      </c>
      <c r="Z270" t="n">
        <v>74</v>
      </c>
      <c r="AA270" t="n">
        <v>28</v>
      </c>
      <c r="AB270" t="n">
        <v>74</v>
      </c>
      <c r="AC270" t="n">
        <v>106</v>
      </c>
      <c r="AD270" t="n">
        <v>281</v>
      </c>
      <c r="AE270" t="n">
        <v>74</v>
      </c>
      <c r="AF270" t="n">
        <v>281</v>
      </c>
      <c r="AG270" t="n">
        <v>100</v>
      </c>
      <c r="AH270" t="n">
        <v>4</v>
      </c>
      <c r="AI270" t="n">
        <v>0</v>
      </c>
      <c r="AJ270" t="n">
        <v>12</v>
      </c>
      <c r="AK270" t="inlineStr">
        <is>
          <t>MDS</t>
        </is>
      </c>
      <c r="AL270" t="inlineStr">
        <is>
          <t>Low ESTN</t>
        </is>
      </c>
      <c r="AM270" t="inlineStr">
        <is>
          <t>P2</t>
        </is>
      </c>
      <c r="AN270" t="inlineStr">
        <is>
          <t>At-Risk Excess</t>
        </is>
      </c>
      <c r="AO270" t="inlineStr">
        <is>
          <t>B</t>
        </is>
      </c>
      <c r="AP270" t="inlineStr"/>
      <c r="AQ270">
        <f>IF(AM270="P1",100,IF(AM270="P2",67,IF(AM270="P3",33,0)))</f>
        <v/>
      </c>
      <c r="AR270">
        <f>MIN(100,INT(IF(AI270&gt;0,AI270/Z270,AJ270/AD270)*100))</f>
        <v/>
      </c>
      <c r="AS270">
        <f>IF(AI270+AJ270=0,0,INT(100/D270))</f>
        <v/>
      </c>
      <c r="AT270">
        <f>IF(AO270="A",100,IF(AO270="B",67,33))</f>
        <v/>
      </c>
      <c r="AU270">
        <f>ROUND(0.40*AQ270+0.30*AR270+0.20*AS270+0.10*AT270,0)</f>
        <v/>
      </c>
      <c r="AV270" t="inlineStr">
        <is>
          <t>Opening inventory of 181 and supply of 129 exceed the demand of 17, resulting in a projected surplus of 293. This inventory levels violates the maximum stock threshold of 281 units by 12 units, increasing holding risk.</t>
        </is>
      </c>
    </row>
    <row r="271">
      <c r="A271" t="inlineStr"/>
      <c r="B271" t="inlineStr">
        <is>
          <t>2026-04-17</t>
        </is>
      </c>
      <c r="C271" t="inlineStr">
        <is>
          <t>2026-03-15</t>
        </is>
      </c>
      <c r="D271" t="n">
        <v>6</v>
      </c>
      <c r="E271" t="inlineStr">
        <is>
          <t>SKU_0005</t>
        </is>
      </c>
      <c r="F271" t="inlineStr">
        <is>
          <t>DC4</t>
        </is>
      </c>
      <c r="G271" t="inlineStr">
        <is>
          <t>F1</t>
        </is>
      </c>
      <c r="H271" t="inlineStr">
        <is>
          <t>Seattle</t>
        </is>
      </c>
      <c r="I271" t="inlineStr">
        <is>
          <t>Northwest</t>
        </is>
      </c>
      <c r="J271" t="n">
        <v>47.6062</v>
      </c>
      <c r="K271" t="n">
        <v>-122.3321</v>
      </c>
      <c r="L271" t="inlineStr">
        <is>
          <t>DC</t>
        </is>
      </c>
      <c r="M271" t="inlineStr">
        <is>
          <t>Medical Devices &amp; Diagnostics</t>
        </is>
      </c>
      <c r="N271" t="n">
        <v>293</v>
      </c>
      <c r="O271" t="n">
        <v>19</v>
      </c>
      <c r="P271" t="n">
        <v>0</v>
      </c>
      <c r="Q271" t="n">
        <v>19</v>
      </c>
      <c r="R271" t="n">
        <v>0</v>
      </c>
      <c r="S271" t="n">
        <v>50</v>
      </c>
      <c r="T271" t="n">
        <v>50</v>
      </c>
      <c r="U271" t="n">
        <v>0</v>
      </c>
      <c r="V271" t="n">
        <v>324</v>
      </c>
      <c r="W271" t="n">
        <v>119.4</v>
      </c>
      <c r="X271" t="n">
        <v>4</v>
      </c>
      <c r="Y271" t="n">
        <v>28</v>
      </c>
      <c r="Z271" t="n">
        <v>74</v>
      </c>
      <c r="AA271" t="n">
        <v>28</v>
      </c>
      <c r="AB271" t="n">
        <v>74</v>
      </c>
      <c r="AC271" t="n">
        <v>106</v>
      </c>
      <c r="AD271" t="n">
        <v>281</v>
      </c>
      <c r="AE271" t="n">
        <v>74</v>
      </c>
      <c r="AF271" t="n">
        <v>281</v>
      </c>
      <c r="AG271" t="n">
        <v>100</v>
      </c>
      <c r="AH271" t="n">
        <v>15</v>
      </c>
      <c r="AI271" t="n">
        <v>0</v>
      </c>
      <c r="AJ271" t="n">
        <v>43</v>
      </c>
      <c r="AK271" t="inlineStr">
        <is>
          <t>MDS</t>
        </is>
      </c>
      <c r="AL271" t="inlineStr">
        <is>
          <t>None</t>
        </is>
      </c>
      <c r="AM271" t="inlineStr">
        <is>
          <t>None</t>
        </is>
      </c>
      <c r="AN271" t="inlineStr">
        <is>
          <t>Healthy</t>
        </is>
      </c>
      <c r="AO271" t="inlineStr">
        <is>
          <t>B</t>
        </is>
      </c>
      <c r="AP271" t="inlineStr"/>
      <c r="AQ271">
        <f>IF(AM271="P1",100,IF(AM271="P2",67,IF(AM271="P3",33,0)))</f>
        <v/>
      </c>
      <c r="AR271">
        <f>MIN(100,INT(IF(AI271&gt;0,AI271/Z271,AJ271/AD271)*100))</f>
        <v/>
      </c>
      <c r="AS271">
        <f>IF(AI271+AJ271=0,0,INT(100/D271))</f>
        <v/>
      </c>
      <c r="AT271">
        <f>IF(AO271="A",100,IF(AO271="B",67,33))</f>
        <v/>
      </c>
      <c r="AU271">
        <f>ROUND(0.40*AQ271+0.30*AR271+0.20*AS271+0.10*AT271,0)</f>
        <v/>
      </c>
      <c r="AV271" t="inlineStr"/>
    </row>
    <row r="272">
      <c r="A272" t="inlineStr"/>
      <c r="B272" t="inlineStr">
        <is>
          <t>2026-04-17</t>
        </is>
      </c>
      <c r="C272" t="inlineStr">
        <is>
          <t>2026-03-22</t>
        </is>
      </c>
      <c r="D272" t="n">
        <v>7</v>
      </c>
      <c r="E272" t="inlineStr">
        <is>
          <t>SKU_0005</t>
        </is>
      </c>
      <c r="F272" t="inlineStr">
        <is>
          <t>DC4</t>
        </is>
      </c>
      <c r="G272" t="inlineStr">
        <is>
          <t>F1</t>
        </is>
      </c>
      <c r="H272" t="inlineStr">
        <is>
          <t>Seattle</t>
        </is>
      </c>
      <c r="I272" t="inlineStr">
        <is>
          <t>Northwest</t>
        </is>
      </c>
      <c r="J272" t="n">
        <v>47.6062</v>
      </c>
      <c r="K272" t="n">
        <v>-122.3321</v>
      </c>
      <c r="L272" t="inlineStr">
        <is>
          <t>DC</t>
        </is>
      </c>
      <c r="M272" t="inlineStr">
        <is>
          <t>Medical Devices &amp; Diagnostics</t>
        </is>
      </c>
      <c r="N272" t="n">
        <v>324</v>
      </c>
      <c r="O272" t="n">
        <v>18</v>
      </c>
      <c r="P272" t="n">
        <v>0</v>
      </c>
      <c r="Q272" t="n">
        <v>18</v>
      </c>
      <c r="R272" t="n">
        <v>0</v>
      </c>
      <c r="S272" t="n">
        <v>35</v>
      </c>
      <c r="T272" t="n">
        <v>35</v>
      </c>
      <c r="U272" t="n">
        <v>0</v>
      </c>
      <c r="V272" t="n">
        <v>341</v>
      </c>
      <c r="W272" t="n">
        <v>132.6</v>
      </c>
      <c r="X272" t="n">
        <v>4</v>
      </c>
      <c r="Y272" t="n">
        <v>28</v>
      </c>
      <c r="Z272" t="n">
        <v>74</v>
      </c>
      <c r="AA272" t="n">
        <v>28</v>
      </c>
      <c r="AB272" t="n">
        <v>74</v>
      </c>
      <c r="AC272" t="n">
        <v>106</v>
      </c>
      <c r="AD272" t="n">
        <v>281</v>
      </c>
      <c r="AE272" t="n">
        <v>74</v>
      </c>
      <c r="AF272" t="n">
        <v>281</v>
      </c>
      <c r="AG272" t="n">
        <v>100</v>
      </c>
      <c r="AH272" t="n">
        <v>21</v>
      </c>
      <c r="AI272" t="n">
        <v>0</v>
      </c>
      <c r="AJ272" t="n">
        <v>60</v>
      </c>
      <c r="AK272" t="inlineStr">
        <is>
          <t>MDS</t>
        </is>
      </c>
      <c r="AL272" t="inlineStr">
        <is>
          <t>None</t>
        </is>
      </c>
      <c r="AM272" t="inlineStr">
        <is>
          <t>None</t>
        </is>
      </c>
      <c r="AN272" t="inlineStr">
        <is>
          <t>Healthy</t>
        </is>
      </c>
      <c r="AO272" t="inlineStr">
        <is>
          <t>B</t>
        </is>
      </c>
      <c r="AP272" t="inlineStr"/>
      <c r="AQ272">
        <f>IF(AM272="P1",100,IF(AM272="P2",67,IF(AM272="P3",33,0)))</f>
        <v/>
      </c>
      <c r="AR272">
        <f>MIN(100,INT(IF(AI272&gt;0,AI272/Z272,AJ272/AD272)*100))</f>
        <v/>
      </c>
      <c r="AS272">
        <f>IF(AI272+AJ272=0,0,INT(100/D272))</f>
        <v/>
      </c>
      <c r="AT272">
        <f>IF(AO272="A",100,IF(AO272="B",67,33))</f>
        <v/>
      </c>
      <c r="AU272">
        <f>ROUND(0.40*AQ272+0.30*AR272+0.20*AS272+0.10*AT272,0)</f>
        <v/>
      </c>
      <c r="AV272" t="inlineStr"/>
    </row>
    <row r="273">
      <c r="A273" t="inlineStr"/>
      <c r="B273" t="inlineStr">
        <is>
          <t>2026-04-17</t>
        </is>
      </c>
      <c r="C273" t="inlineStr">
        <is>
          <t>2026-03-29</t>
        </is>
      </c>
      <c r="D273" t="n">
        <v>8</v>
      </c>
      <c r="E273" t="inlineStr">
        <is>
          <t>SKU_0005</t>
        </is>
      </c>
      <c r="F273" t="inlineStr">
        <is>
          <t>DC4</t>
        </is>
      </c>
      <c r="G273" t="inlineStr">
        <is>
          <t>F1</t>
        </is>
      </c>
      <c r="H273" t="inlineStr">
        <is>
          <t>Seattle</t>
        </is>
      </c>
      <c r="I273" t="inlineStr">
        <is>
          <t>Northwest</t>
        </is>
      </c>
      <c r="J273" t="n">
        <v>47.6062</v>
      </c>
      <c r="K273" t="n">
        <v>-122.3321</v>
      </c>
      <c r="L273" t="inlineStr">
        <is>
          <t>DC</t>
        </is>
      </c>
      <c r="M273" t="inlineStr">
        <is>
          <t>Medical Devices &amp; Diagnostics</t>
        </is>
      </c>
      <c r="N273" t="n">
        <v>341</v>
      </c>
      <c r="O273" t="n">
        <v>23</v>
      </c>
      <c r="P273" t="n">
        <v>0</v>
      </c>
      <c r="Q273" t="n">
        <v>23</v>
      </c>
      <c r="R273" t="n">
        <v>0</v>
      </c>
      <c r="S273" t="n">
        <v>0</v>
      </c>
      <c r="T273" t="n">
        <v>0</v>
      </c>
      <c r="U273" t="n">
        <v>0</v>
      </c>
      <c r="V273" t="n">
        <v>318</v>
      </c>
      <c r="W273" t="n">
        <v>96.8</v>
      </c>
      <c r="X273" t="n">
        <v>4</v>
      </c>
      <c r="Y273" t="n">
        <v>28</v>
      </c>
      <c r="Z273" t="n">
        <v>74</v>
      </c>
      <c r="AA273" t="n">
        <v>28</v>
      </c>
      <c r="AB273" t="n">
        <v>74</v>
      </c>
      <c r="AC273" t="n">
        <v>106</v>
      </c>
      <c r="AD273" t="n">
        <v>281</v>
      </c>
      <c r="AE273" t="n">
        <v>74</v>
      </c>
      <c r="AF273" t="n">
        <v>281</v>
      </c>
      <c r="AG273" t="n">
        <v>100</v>
      </c>
      <c r="AH273" t="n">
        <v>13</v>
      </c>
      <c r="AI273" t="n">
        <v>0</v>
      </c>
      <c r="AJ273" t="n">
        <v>37</v>
      </c>
      <c r="AK273" t="inlineStr">
        <is>
          <t>MDS</t>
        </is>
      </c>
      <c r="AL273" t="inlineStr">
        <is>
          <t>None</t>
        </is>
      </c>
      <c r="AM273" t="inlineStr">
        <is>
          <t>None</t>
        </is>
      </c>
      <c r="AN273" t="inlineStr">
        <is>
          <t>Healthy</t>
        </is>
      </c>
      <c r="AO273" t="inlineStr">
        <is>
          <t>B</t>
        </is>
      </c>
      <c r="AP273" t="inlineStr"/>
      <c r="AQ273">
        <f>IF(AM273="P1",100,IF(AM273="P2",67,IF(AM273="P3",33,0)))</f>
        <v/>
      </c>
      <c r="AR273">
        <f>MIN(100,INT(IF(AI273&gt;0,AI273/Z273,AJ273/AD273)*100))</f>
        <v/>
      </c>
      <c r="AS273">
        <f>IF(AI273+AJ273=0,0,INT(100/D273))</f>
        <v/>
      </c>
      <c r="AT273">
        <f>IF(AO273="A",100,IF(AO273="B",67,33))</f>
        <v/>
      </c>
      <c r="AU273">
        <f>ROUND(0.40*AQ273+0.30*AR273+0.20*AS273+0.10*AT273,0)</f>
        <v/>
      </c>
      <c r="AV273" t="inlineStr"/>
    </row>
    <row r="274">
      <c r="A274" t="inlineStr">
        <is>
          <t>BD-24536581-00130</t>
        </is>
      </c>
      <c r="B274" t="inlineStr">
        <is>
          <t>2026-04-17</t>
        </is>
      </c>
      <c r="C274" t="inlineStr">
        <is>
          <t>2026-04-05</t>
        </is>
      </c>
      <c r="D274" t="n">
        <v>9</v>
      </c>
      <c r="E274" t="inlineStr">
        <is>
          <t>SKU_0005</t>
        </is>
      </c>
      <c r="F274" t="inlineStr">
        <is>
          <t>DC4</t>
        </is>
      </c>
      <c r="G274" t="inlineStr">
        <is>
          <t>F1</t>
        </is>
      </c>
      <c r="H274" t="inlineStr">
        <is>
          <t>Seattle</t>
        </is>
      </c>
      <c r="I274" t="inlineStr">
        <is>
          <t>Northwest</t>
        </is>
      </c>
      <c r="J274" t="n">
        <v>47.6062</v>
      </c>
      <c r="K274" t="n">
        <v>-122.3321</v>
      </c>
      <c r="L274" t="inlineStr">
        <is>
          <t>DC</t>
        </is>
      </c>
      <c r="M274" t="inlineStr">
        <is>
          <t>Medical Devices &amp; Diagnostics</t>
        </is>
      </c>
      <c r="N274" t="n">
        <v>318</v>
      </c>
      <c r="O274" t="n">
        <v>13</v>
      </c>
      <c r="P274" t="n">
        <v>0</v>
      </c>
      <c r="Q274" t="n">
        <v>13</v>
      </c>
      <c r="R274" t="n">
        <v>0</v>
      </c>
      <c r="S274" t="n">
        <v>0</v>
      </c>
      <c r="T274" t="n">
        <v>0</v>
      </c>
      <c r="U274" t="n">
        <v>0</v>
      </c>
      <c r="V274" t="n">
        <v>305</v>
      </c>
      <c r="W274" t="n">
        <v>164.2</v>
      </c>
      <c r="X274" t="n">
        <v>4</v>
      </c>
      <c r="Y274" t="n">
        <v>28</v>
      </c>
      <c r="Z274" t="n">
        <v>74</v>
      </c>
      <c r="AA274" t="n">
        <v>28</v>
      </c>
      <c r="AB274" t="n">
        <v>74</v>
      </c>
      <c r="AC274" t="n">
        <v>106</v>
      </c>
      <c r="AD274" t="n">
        <v>281</v>
      </c>
      <c r="AE274" t="n">
        <v>74</v>
      </c>
      <c r="AF274" t="n">
        <v>281</v>
      </c>
      <c r="AG274" t="n">
        <v>100</v>
      </c>
      <c r="AH274" t="n">
        <v>8</v>
      </c>
      <c r="AI274" t="n">
        <v>0</v>
      </c>
      <c r="AJ274" t="n">
        <v>24</v>
      </c>
      <c r="AK274" t="inlineStr">
        <is>
          <t>MDS</t>
        </is>
      </c>
      <c r="AL274" t="inlineStr">
        <is>
          <t>Low ESTN</t>
        </is>
      </c>
      <c r="AM274" t="inlineStr">
        <is>
          <t>P2</t>
        </is>
      </c>
      <c r="AN274" t="inlineStr">
        <is>
          <t>At-Risk Excess</t>
        </is>
      </c>
      <c r="AO274" t="inlineStr">
        <is>
          <t>B</t>
        </is>
      </c>
      <c r="AP274" t="inlineStr"/>
      <c r="AQ274">
        <f>IF(AM274="P1",100,IF(AM274="P2",67,IF(AM274="P3",33,0)))</f>
        <v/>
      </c>
      <c r="AR274">
        <f>MIN(100,INT(IF(AI274&gt;0,AI274/Z274,AJ274/AD274)*100))</f>
        <v/>
      </c>
      <c r="AS274">
        <f>IF(AI274+AJ274=0,0,INT(100/D274))</f>
        <v/>
      </c>
      <c r="AT274">
        <f>IF(AO274="A",100,IF(AO274="B",67,33))</f>
        <v/>
      </c>
      <c r="AU274">
        <f>ROUND(0.40*AQ274+0.30*AR274+0.20*AS274+0.10*AT274,0)</f>
        <v/>
      </c>
      <c r="AV274" t="inlineStr">
        <is>
          <t>Opening inventory of 318 and supply of 0 exceed the demand of 13, resulting in a projected surplus of 305. This inventory levels violates the maximum stock threshold of 281 units by 24 units, increasing holding risk.</t>
        </is>
      </c>
    </row>
    <row r="275">
      <c r="A275" t="inlineStr"/>
      <c r="B275" t="inlineStr">
        <is>
          <t>2026-04-17</t>
        </is>
      </c>
      <c r="C275" t="inlineStr">
        <is>
          <t>2026-04-12</t>
        </is>
      </c>
      <c r="D275" t="n">
        <v>10</v>
      </c>
      <c r="E275" t="inlineStr">
        <is>
          <t>SKU_0005</t>
        </is>
      </c>
      <c r="F275" t="inlineStr">
        <is>
          <t>DC4</t>
        </is>
      </c>
      <c r="G275" t="inlineStr">
        <is>
          <t>F1</t>
        </is>
      </c>
      <c r="H275" t="inlineStr">
        <is>
          <t>Seattle</t>
        </is>
      </c>
      <c r="I275" t="inlineStr">
        <is>
          <t>Northwest</t>
        </is>
      </c>
      <c r="J275" t="n">
        <v>47.6062</v>
      </c>
      <c r="K275" t="n">
        <v>-122.3321</v>
      </c>
      <c r="L275" t="inlineStr">
        <is>
          <t>DC</t>
        </is>
      </c>
      <c r="M275" t="inlineStr">
        <is>
          <t>Medical Devices &amp; Diagnostics</t>
        </is>
      </c>
      <c r="N275" t="n">
        <v>305</v>
      </c>
      <c r="O275" t="n">
        <v>21</v>
      </c>
      <c r="P275" t="n">
        <v>0</v>
      </c>
      <c r="Q275" t="n">
        <v>21</v>
      </c>
      <c r="R275" t="n">
        <v>46</v>
      </c>
      <c r="S275" t="n">
        <v>0</v>
      </c>
      <c r="T275" t="n">
        <v>46</v>
      </c>
      <c r="U275" t="n">
        <v>0</v>
      </c>
      <c r="V275" t="n">
        <v>330</v>
      </c>
      <c r="W275" t="n">
        <v>110</v>
      </c>
      <c r="X275" t="n">
        <v>4</v>
      </c>
      <c r="Y275" t="n">
        <v>28</v>
      </c>
      <c r="Z275" t="n">
        <v>74</v>
      </c>
      <c r="AA275" t="n">
        <v>28</v>
      </c>
      <c r="AB275" t="n">
        <v>74</v>
      </c>
      <c r="AC275" t="n">
        <v>106</v>
      </c>
      <c r="AD275" t="n">
        <v>281</v>
      </c>
      <c r="AE275" t="n">
        <v>74</v>
      </c>
      <c r="AF275" t="n">
        <v>281</v>
      </c>
      <c r="AG275" t="n">
        <v>100</v>
      </c>
      <c r="AH275" t="n">
        <v>17</v>
      </c>
      <c r="AI275" t="n">
        <v>0</v>
      </c>
      <c r="AJ275" t="n">
        <v>49</v>
      </c>
      <c r="AK275" t="inlineStr">
        <is>
          <t>MDS</t>
        </is>
      </c>
      <c r="AL275" t="inlineStr">
        <is>
          <t>None</t>
        </is>
      </c>
      <c r="AM275" t="inlineStr">
        <is>
          <t>None</t>
        </is>
      </c>
      <c r="AN275" t="inlineStr">
        <is>
          <t>Healthy</t>
        </is>
      </c>
      <c r="AO275" t="inlineStr">
        <is>
          <t>B</t>
        </is>
      </c>
      <c r="AP275" t="inlineStr"/>
      <c r="AQ275">
        <f>IF(AM275="P1",100,IF(AM275="P2",67,IF(AM275="P3",33,0)))</f>
        <v/>
      </c>
      <c r="AR275">
        <f>MIN(100,INT(IF(AI275&gt;0,AI275/Z275,AJ275/AD275)*100))</f>
        <v/>
      </c>
      <c r="AS275">
        <f>IF(AI275+AJ275=0,0,INT(100/D275))</f>
        <v/>
      </c>
      <c r="AT275">
        <f>IF(AO275="A",100,IF(AO275="B",67,33))</f>
        <v/>
      </c>
      <c r="AU275">
        <f>ROUND(0.40*AQ275+0.30*AR275+0.20*AS275+0.10*AT275,0)</f>
        <v/>
      </c>
      <c r="AV275" t="inlineStr"/>
    </row>
    <row r="276">
      <c r="A276" t="inlineStr"/>
      <c r="B276" t="inlineStr">
        <is>
          <t>2026-04-17</t>
        </is>
      </c>
      <c r="C276" t="inlineStr">
        <is>
          <t>2026-04-19</t>
        </is>
      </c>
      <c r="D276" t="n">
        <v>11</v>
      </c>
      <c r="E276" t="inlineStr">
        <is>
          <t>SKU_0005</t>
        </is>
      </c>
      <c r="F276" t="inlineStr">
        <is>
          <t>DC4</t>
        </is>
      </c>
      <c r="G276" t="inlineStr">
        <is>
          <t>F1</t>
        </is>
      </c>
      <c r="H276" t="inlineStr">
        <is>
          <t>Seattle</t>
        </is>
      </c>
      <c r="I276" t="inlineStr">
        <is>
          <t>Northwest</t>
        </is>
      </c>
      <c r="J276" t="n">
        <v>47.6062</v>
      </c>
      <c r="K276" t="n">
        <v>-122.3321</v>
      </c>
      <c r="L276" t="inlineStr">
        <is>
          <t>DC</t>
        </is>
      </c>
      <c r="M276" t="inlineStr">
        <is>
          <t>Medical Devices &amp; Diagnostics</t>
        </is>
      </c>
      <c r="N276" t="n">
        <v>330</v>
      </c>
      <c r="O276" t="n">
        <v>20</v>
      </c>
      <c r="P276" t="n">
        <v>0</v>
      </c>
      <c r="Q276" t="n">
        <v>20</v>
      </c>
      <c r="R276" t="n">
        <v>0</v>
      </c>
      <c r="S276" t="n">
        <v>120</v>
      </c>
      <c r="T276" t="n">
        <v>120</v>
      </c>
      <c r="U276" t="n">
        <v>0</v>
      </c>
      <c r="V276" t="n">
        <v>430</v>
      </c>
      <c r="W276" t="n">
        <v>150.5</v>
      </c>
      <c r="X276" t="n">
        <v>4</v>
      </c>
      <c r="Y276" t="n">
        <v>28</v>
      </c>
      <c r="Z276" t="n">
        <v>74</v>
      </c>
      <c r="AA276" t="n">
        <v>28</v>
      </c>
      <c r="AB276" t="n">
        <v>74</v>
      </c>
      <c r="AC276" t="n">
        <v>106</v>
      </c>
      <c r="AD276" t="n">
        <v>281</v>
      </c>
      <c r="AE276" t="n">
        <v>74</v>
      </c>
      <c r="AF276" t="n">
        <v>281</v>
      </c>
      <c r="AG276" t="n">
        <v>100</v>
      </c>
      <c r="AH276" t="n">
        <v>53</v>
      </c>
      <c r="AI276" t="n">
        <v>0</v>
      </c>
      <c r="AJ276" t="n">
        <v>149</v>
      </c>
      <c r="AK276" t="inlineStr">
        <is>
          <t>MDS</t>
        </is>
      </c>
      <c r="AL276" t="inlineStr">
        <is>
          <t>None</t>
        </is>
      </c>
      <c r="AM276" t="inlineStr">
        <is>
          <t>None</t>
        </is>
      </c>
      <c r="AN276" t="inlineStr">
        <is>
          <t>Healthy</t>
        </is>
      </c>
      <c r="AO276" t="inlineStr">
        <is>
          <t>B</t>
        </is>
      </c>
      <c r="AP276" t="inlineStr"/>
      <c r="AQ276">
        <f>IF(AM276="P1",100,IF(AM276="P2",67,IF(AM276="P3",33,0)))</f>
        <v/>
      </c>
      <c r="AR276">
        <f>MIN(100,INT(IF(AI276&gt;0,AI276/Z276,AJ276/AD276)*100))</f>
        <v/>
      </c>
      <c r="AS276">
        <f>IF(AI276+AJ276=0,0,INT(100/D276))</f>
        <v/>
      </c>
      <c r="AT276">
        <f>IF(AO276="A",100,IF(AO276="B",67,33))</f>
        <v/>
      </c>
      <c r="AU276">
        <f>ROUND(0.40*AQ276+0.30*AR276+0.20*AS276+0.10*AT276,0)</f>
        <v/>
      </c>
      <c r="AV276" t="inlineStr"/>
    </row>
    <row r="277">
      <c r="A277" t="inlineStr"/>
      <c r="B277" t="inlineStr">
        <is>
          <t>2026-04-17</t>
        </is>
      </c>
      <c r="C277" t="inlineStr">
        <is>
          <t>2026-04-26</t>
        </is>
      </c>
      <c r="D277" t="n">
        <v>12</v>
      </c>
      <c r="E277" t="inlineStr">
        <is>
          <t>SKU_0005</t>
        </is>
      </c>
      <c r="F277" t="inlineStr">
        <is>
          <t>DC4</t>
        </is>
      </c>
      <c r="G277" t="inlineStr">
        <is>
          <t>F1</t>
        </is>
      </c>
      <c r="H277" t="inlineStr">
        <is>
          <t>Seattle</t>
        </is>
      </c>
      <c r="I277" t="inlineStr">
        <is>
          <t>Northwest</t>
        </is>
      </c>
      <c r="J277" t="n">
        <v>47.6062</v>
      </c>
      <c r="K277" t="n">
        <v>-122.3321</v>
      </c>
      <c r="L277" t="inlineStr">
        <is>
          <t>DC</t>
        </is>
      </c>
      <c r="M277" t="inlineStr">
        <is>
          <t>Medical Devices &amp; Diagnostics</t>
        </is>
      </c>
      <c r="N277" t="n">
        <v>430</v>
      </c>
      <c r="O277" t="n">
        <v>18</v>
      </c>
      <c r="P277" t="n">
        <v>0</v>
      </c>
      <c r="Q277" t="n">
        <v>18</v>
      </c>
      <c r="R277" t="n">
        <v>53</v>
      </c>
      <c r="S277" t="n">
        <v>0</v>
      </c>
      <c r="T277" t="n">
        <v>53</v>
      </c>
      <c r="U277" t="n">
        <v>0</v>
      </c>
      <c r="V277" t="n">
        <v>465</v>
      </c>
      <c r="W277" t="n">
        <v>180.8</v>
      </c>
      <c r="X277" t="n">
        <v>4</v>
      </c>
      <c r="Y277" t="n">
        <v>28</v>
      </c>
      <c r="Z277" t="n">
        <v>74</v>
      </c>
      <c r="AA277" t="n">
        <v>28</v>
      </c>
      <c r="AB277" t="n">
        <v>74</v>
      </c>
      <c r="AC277" t="n">
        <v>106</v>
      </c>
      <c r="AD277" t="n">
        <v>281</v>
      </c>
      <c r="AE277" t="n">
        <v>74</v>
      </c>
      <c r="AF277" t="n">
        <v>281</v>
      </c>
      <c r="AG277" t="n">
        <v>100</v>
      </c>
      <c r="AH277" t="n">
        <v>65</v>
      </c>
      <c r="AI277" t="n">
        <v>0</v>
      </c>
      <c r="AJ277" t="n">
        <v>184</v>
      </c>
      <c r="AK277" t="inlineStr">
        <is>
          <t>MDS</t>
        </is>
      </c>
      <c r="AL277" t="inlineStr">
        <is>
          <t>None</t>
        </is>
      </c>
      <c r="AM277" t="inlineStr">
        <is>
          <t>None</t>
        </is>
      </c>
      <c r="AN277" t="inlineStr">
        <is>
          <t>Healthy</t>
        </is>
      </c>
      <c r="AO277" t="inlineStr">
        <is>
          <t>B</t>
        </is>
      </c>
      <c r="AP277" t="inlineStr"/>
      <c r="AQ277">
        <f>IF(AM277="P1",100,IF(AM277="P2",67,IF(AM277="P3",33,0)))</f>
        <v/>
      </c>
      <c r="AR277">
        <f>MIN(100,INT(IF(AI277&gt;0,AI277/Z277,AJ277/AD277)*100))</f>
        <v/>
      </c>
      <c r="AS277">
        <f>IF(AI277+AJ277=0,0,INT(100/D277))</f>
        <v/>
      </c>
      <c r="AT277">
        <f>IF(AO277="A",100,IF(AO277="B",67,33))</f>
        <v/>
      </c>
      <c r="AU277">
        <f>ROUND(0.40*AQ277+0.30*AR277+0.20*AS277+0.10*AT277,0)</f>
        <v/>
      </c>
      <c r="AV277" t="inlineStr"/>
    </row>
    <row r="278">
      <c r="A278" t="inlineStr"/>
      <c r="B278" t="inlineStr">
        <is>
          <t>2026-04-17</t>
        </is>
      </c>
      <c r="C278" t="inlineStr">
        <is>
          <t>2026-02-08</t>
        </is>
      </c>
      <c r="D278" t="n">
        <v>1</v>
      </c>
      <c r="E278" t="inlineStr">
        <is>
          <t>SKU_0005</t>
        </is>
      </c>
      <c r="F278" t="inlineStr">
        <is>
          <t>DC5</t>
        </is>
      </c>
      <c r="G278" t="inlineStr">
        <is>
          <t>F1</t>
        </is>
      </c>
      <c r="H278" t="inlineStr">
        <is>
          <t>Miami</t>
        </is>
      </c>
      <c r="I278" t="inlineStr">
        <is>
          <t>Southeast</t>
        </is>
      </c>
      <c r="J278" t="n">
        <v>25.7617</v>
      </c>
      <c r="K278" t="n">
        <v>-80.1918</v>
      </c>
      <c r="L278" t="inlineStr">
        <is>
          <t>DC</t>
        </is>
      </c>
      <c r="M278" t="inlineStr">
        <is>
          <t>Medical Devices &amp; Diagnostics</t>
        </is>
      </c>
      <c r="N278" t="n">
        <v>471</v>
      </c>
      <c r="O278" t="n">
        <v>94</v>
      </c>
      <c r="P278" t="n">
        <v>0</v>
      </c>
      <c r="Q278" t="n">
        <v>94</v>
      </c>
      <c r="R278" t="n">
        <v>0</v>
      </c>
      <c r="S278" t="n">
        <v>707</v>
      </c>
      <c r="T278" t="n">
        <v>707</v>
      </c>
      <c r="U278" t="n">
        <v>0</v>
      </c>
      <c r="V278" t="n">
        <v>1084</v>
      </c>
      <c r="W278" t="n">
        <v>80.7</v>
      </c>
      <c r="X278" t="n">
        <v>3</v>
      </c>
      <c r="Y278" t="n">
        <v>28</v>
      </c>
      <c r="Z278" t="n">
        <v>414</v>
      </c>
      <c r="AA278" t="n">
        <v>21</v>
      </c>
      <c r="AB278" t="n">
        <v>310</v>
      </c>
      <c r="AC278" t="n">
        <v>93</v>
      </c>
      <c r="AD278" t="n">
        <v>1382</v>
      </c>
      <c r="AE278" t="n">
        <v>414</v>
      </c>
      <c r="AF278" t="n">
        <v>1382</v>
      </c>
      <c r="AG278" t="n">
        <v>100</v>
      </c>
      <c r="AH278" t="n">
        <v>0</v>
      </c>
      <c r="AI278" t="n">
        <v>0</v>
      </c>
      <c r="AJ278" t="n">
        <v>0</v>
      </c>
      <c r="AK278" t="inlineStr">
        <is>
          <t>MDS</t>
        </is>
      </c>
      <c r="AL278" t="inlineStr">
        <is>
          <t>None</t>
        </is>
      </c>
      <c r="AM278" t="inlineStr">
        <is>
          <t>None</t>
        </is>
      </c>
      <c r="AN278" t="inlineStr">
        <is>
          <t>Healthy</t>
        </is>
      </c>
      <c r="AO278" t="inlineStr">
        <is>
          <t>B</t>
        </is>
      </c>
      <c r="AP278" t="inlineStr"/>
      <c r="AQ278">
        <f>IF(AM278="P1",100,IF(AM278="P2",67,IF(AM278="P3",33,0)))</f>
        <v/>
      </c>
      <c r="AR278">
        <f>MIN(100,INT(IF(AI278&gt;0,AI278/Z278,AJ278/AD278)*100))</f>
        <v/>
      </c>
      <c r="AS278">
        <f>IF(AI278+AJ278=0,0,INT(100/D278))</f>
        <v/>
      </c>
      <c r="AT278">
        <f>IF(AO278="A",100,IF(AO278="B",67,33))</f>
        <v/>
      </c>
      <c r="AU278">
        <f>ROUND(0.40*AQ278+0.30*AR278+0.20*AS278+0.10*AT278,0)</f>
        <v/>
      </c>
      <c r="AV278" t="inlineStr"/>
    </row>
    <row r="279">
      <c r="A279" t="inlineStr"/>
      <c r="B279" t="inlineStr">
        <is>
          <t>2026-04-17</t>
        </is>
      </c>
      <c r="C279" t="inlineStr">
        <is>
          <t>2026-02-15</t>
        </is>
      </c>
      <c r="D279" t="n">
        <v>2</v>
      </c>
      <c r="E279" t="inlineStr">
        <is>
          <t>SKU_0005</t>
        </is>
      </c>
      <c r="F279" t="inlineStr">
        <is>
          <t>DC5</t>
        </is>
      </c>
      <c r="G279" t="inlineStr">
        <is>
          <t>F1</t>
        </is>
      </c>
      <c r="H279" t="inlineStr">
        <is>
          <t>Miami</t>
        </is>
      </c>
      <c r="I279" t="inlineStr">
        <is>
          <t>Southeast</t>
        </is>
      </c>
      <c r="J279" t="n">
        <v>25.7617</v>
      </c>
      <c r="K279" t="n">
        <v>-80.1918</v>
      </c>
      <c r="L279" t="inlineStr">
        <is>
          <t>DC</t>
        </is>
      </c>
      <c r="M279" t="inlineStr">
        <is>
          <t>Medical Devices &amp; Diagnostics</t>
        </is>
      </c>
      <c r="N279" t="n">
        <v>1084</v>
      </c>
      <c r="O279" t="n">
        <v>107</v>
      </c>
      <c r="P279" t="n">
        <v>0</v>
      </c>
      <c r="Q279" t="n">
        <v>107</v>
      </c>
      <c r="R279" t="n">
        <v>0</v>
      </c>
      <c r="S279" t="n">
        <v>245</v>
      </c>
      <c r="T279" t="n">
        <v>245</v>
      </c>
      <c r="U279" t="n">
        <v>0</v>
      </c>
      <c r="V279" t="n">
        <v>1222</v>
      </c>
      <c r="W279" t="n">
        <v>79.90000000000001</v>
      </c>
      <c r="X279" t="n">
        <v>3</v>
      </c>
      <c r="Y279" t="n">
        <v>28</v>
      </c>
      <c r="Z279" t="n">
        <v>414</v>
      </c>
      <c r="AA279" t="n">
        <v>21</v>
      </c>
      <c r="AB279" t="n">
        <v>310</v>
      </c>
      <c r="AC279" t="n">
        <v>93</v>
      </c>
      <c r="AD279" t="n">
        <v>1382</v>
      </c>
      <c r="AE279" t="n">
        <v>414</v>
      </c>
      <c r="AF279" t="n">
        <v>1382</v>
      </c>
      <c r="AG279" t="n">
        <v>100</v>
      </c>
      <c r="AH279" t="n">
        <v>0</v>
      </c>
      <c r="AI279" t="n">
        <v>0</v>
      </c>
      <c r="AJ279" t="n">
        <v>0</v>
      </c>
      <c r="AK279" t="inlineStr">
        <is>
          <t>MDS</t>
        </is>
      </c>
      <c r="AL279" t="inlineStr">
        <is>
          <t>None</t>
        </is>
      </c>
      <c r="AM279" t="inlineStr">
        <is>
          <t>None</t>
        </is>
      </c>
      <c r="AN279" t="inlineStr">
        <is>
          <t>Healthy</t>
        </is>
      </c>
      <c r="AO279" t="inlineStr">
        <is>
          <t>B</t>
        </is>
      </c>
      <c r="AP279" t="inlineStr"/>
      <c r="AQ279">
        <f>IF(AM279="P1",100,IF(AM279="P2",67,IF(AM279="P3",33,0)))</f>
        <v/>
      </c>
      <c r="AR279">
        <f>MIN(100,INT(IF(AI279&gt;0,AI279/Z279,AJ279/AD279)*100))</f>
        <v/>
      </c>
      <c r="AS279">
        <f>IF(AI279+AJ279=0,0,INT(100/D279))</f>
        <v/>
      </c>
      <c r="AT279">
        <f>IF(AO279="A",100,IF(AO279="B",67,33))</f>
        <v/>
      </c>
      <c r="AU279">
        <f>ROUND(0.40*AQ279+0.30*AR279+0.20*AS279+0.10*AT279,0)</f>
        <v/>
      </c>
      <c r="AV279" t="inlineStr"/>
    </row>
    <row r="280">
      <c r="A280" t="inlineStr">
        <is>
          <t>BD-24536581-00131</t>
        </is>
      </c>
      <c r="B280" t="inlineStr">
        <is>
          <t>2026-04-17</t>
        </is>
      </c>
      <c r="C280" t="inlineStr">
        <is>
          <t>2026-02-22</t>
        </is>
      </c>
      <c r="D280" t="n">
        <v>3</v>
      </c>
      <c r="E280" t="inlineStr">
        <is>
          <t>SKU_0005</t>
        </is>
      </c>
      <c r="F280" t="inlineStr">
        <is>
          <t>DC5</t>
        </is>
      </c>
      <c r="G280" t="inlineStr">
        <is>
          <t>F1</t>
        </is>
      </c>
      <c r="H280" t="inlineStr">
        <is>
          <t>Miami</t>
        </is>
      </c>
      <c r="I280" t="inlineStr">
        <is>
          <t>Southeast</t>
        </is>
      </c>
      <c r="J280" t="n">
        <v>25.7617</v>
      </c>
      <c r="K280" t="n">
        <v>-80.1918</v>
      </c>
      <c r="L280" t="inlineStr">
        <is>
          <t>DC</t>
        </is>
      </c>
      <c r="M280" t="inlineStr">
        <is>
          <t>Medical Devices &amp; Diagnostics</t>
        </is>
      </c>
      <c r="N280" t="n">
        <v>1222</v>
      </c>
      <c r="O280" t="n">
        <v>128</v>
      </c>
      <c r="P280" t="n">
        <v>0</v>
      </c>
      <c r="Q280" t="n">
        <v>128</v>
      </c>
      <c r="R280" t="n">
        <v>0</v>
      </c>
      <c r="S280" t="n">
        <v>290</v>
      </c>
      <c r="T280" t="n">
        <v>290</v>
      </c>
      <c r="U280" t="n">
        <v>0</v>
      </c>
      <c r="V280" t="n">
        <v>1384</v>
      </c>
      <c r="W280" t="n">
        <v>75.7</v>
      </c>
      <c r="X280" t="n">
        <v>3</v>
      </c>
      <c r="Y280" t="n">
        <v>28</v>
      </c>
      <c r="Z280" t="n">
        <v>414</v>
      </c>
      <c r="AA280" t="n">
        <v>21</v>
      </c>
      <c r="AB280" t="n">
        <v>310</v>
      </c>
      <c r="AC280" t="n">
        <v>93</v>
      </c>
      <c r="AD280" t="n">
        <v>1382</v>
      </c>
      <c r="AE280" t="n">
        <v>414</v>
      </c>
      <c r="AF280" t="n">
        <v>1382</v>
      </c>
      <c r="AG280" t="n">
        <v>100</v>
      </c>
      <c r="AH280" t="n">
        <v>0</v>
      </c>
      <c r="AI280" t="n">
        <v>0</v>
      </c>
      <c r="AJ280" t="n">
        <v>2</v>
      </c>
      <c r="AK280" t="inlineStr">
        <is>
          <t>MDS</t>
        </is>
      </c>
      <c r="AL280" t="inlineStr">
        <is>
          <t>Low ESTN</t>
        </is>
      </c>
      <c r="AM280" t="inlineStr">
        <is>
          <t>P2</t>
        </is>
      </c>
      <c r="AN280" t="inlineStr">
        <is>
          <t>At-Risk Excess</t>
        </is>
      </c>
      <c r="AO280" t="inlineStr">
        <is>
          <t>B</t>
        </is>
      </c>
      <c r="AP280" t="inlineStr"/>
      <c r="AQ280">
        <f>IF(AM280="P1",100,IF(AM280="P2",67,IF(AM280="P3",33,0)))</f>
        <v/>
      </c>
      <c r="AR280">
        <f>MIN(100,INT(IF(AI280&gt;0,AI280/Z280,AJ280/AD280)*100))</f>
        <v/>
      </c>
      <c r="AS280">
        <f>IF(AI280+AJ280=0,0,INT(100/D280))</f>
        <v/>
      </c>
      <c r="AT280">
        <f>IF(AO280="A",100,IF(AO280="B",67,33))</f>
        <v/>
      </c>
      <c r="AU280">
        <f>ROUND(0.40*AQ280+0.30*AR280+0.20*AS280+0.10*AT280,0)</f>
        <v/>
      </c>
      <c r="AV280" t="inlineStr">
        <is>
          <t>Opening inventory of 1222 and supply of 290 exceed the demand of 128, resulting in a projected surplus of 1384. This inventory levels violates the maximum stock threshold of 1382 units by 2 units, increasing holding risk.</t>
        </is>
      </c>
    </row>
    <row r="281">
      <c r="A281" t="inlineStr"/>
      <c r="B281" t="inlineStr">
        <is>
          <t>2026-04-17</t>
        </is>
      </c>
      <c r="C281" t="inlineStr">
        <is>
          <t>2026-03-01</t>
        </is>
      </c>
      <c r="D281" t="n">
        <v>4</v>
      </c>
      <c r="E281" t="inlineStr">
        <is>
          <t>SKU_0005</t>
        </is>
      </c>
      <c r="F281" t="inlineStr">
        <is>
          <t>DC5</t>
        </is>
      </c>
      <c r="G281" t="inlineStr">
        <is>
          <t>F1</t>
        </is>
      </c>
      <c r="H281" t="inlineStr">
        <is>
          <t>Miami</t>
        </is>
      </c>
      <c r="I281" t="inlineStr">
        <is>
          <t>Southeast</t>
        </is>
      </c>
      <c r="J281" t="n">
        <v>25.7617</v>
      </c>
      <c r="K281" t="n">
        <v>-80.1918</v>
      </c>
      <c r="L281" t="inlineStr">
        <is>
          <t>DC</t>
        </is>
      </c>
      <c r="M281" t="inlineStr">
        <is>
          <t>Medical Devices &amp; Diagnostics</t>
        </is>
      </c>
      <c r="N281" t="n">
        <v>1384</v>
      </c>
      <c r="O281" t="n">
        <v>71</v>
      </c>
      <c r="P281" t="n">
        <v>0</v>
      </c>
      <c r="Q281" t="n">
        <v>71</v>
      </c>
      <c r="R281" t="n">
        <v>0</v>
      </c>
      <c r="S281" t="n">
        <v>0</v>
      </c>
      <c r="T281" t="n">
        <v>0</v>
      </c>
      <c r="U281" t="n">
        <v>0</v>
      </c>
      <c r="V281" t="n">
        <v>1313</v>
      </c>
      <c r="W281" t="n">
        <v>129.5</v>
      </c>
      <c r="X281" t="n">
        <v>3</v>
      </c>
      <c r="Y281" t="n">
        <v>28</v>
      </c>
      <c r="Z281" t="n">
        <v>414</v>
      </c>
      <c r="AA281" t="n">
        <v>21</v>
      </c>
      <c r="AB281" t="n">
        <v>310</v>
      </c>
      <c r="AC281" t="n">
        <v>93</v>
      </c>
      <c r="AD281" t="n">
        <v>1382</v>
      </c>
      <c r="AE281" t="n">
        <v>414</v>
      </c>
      <c r="AF281" t="n">
        <v>1382</v>
      </c>
      <c r="AG281" t="n">
        <v>100</v>
      </c>
      <c r="AH281" t="n">
        <v>0</v>
      </c>
      <c r="AI281" t="n">
        <v>0</v>
      </c>
      <c r="AJ281" t="n">
        <v>0</v>
      </c>
      <c r="AK281" t="inlineStr">
        <is>
          <t>MDS</t>
        </is>
      </c>
      <c r="AL281" t="inlineStr">
        <is>
          <t>None</t>
        </is>
      </c>
      <c r="AM281" t="inlineStr">
        <is>
          <t>None</t>
        </is>
      </c>
      <c r="AN281" t="inlineStr">
        <is>
          <t>Healthy</t>
        </is>
      </c>
      <c r="AO281" t="inlineStr">
        <is>
          <t>B</t>
        </is>
      </c>
      <c r="AP281" t="inlineStr"/>
      <c r="AQ281">
        <f>IF(AM281="P1",100,IF(AM281="P2",67,IF(AM281="P3",33,0)))</f>
        <v/>
      </c>
      <c r="AR281">
        <f>MIN(100,INT(IF(AI281&gt;0,AI281/Z281,AJ281/AD281)*100))</f>
        <v/>
      </c>
      <c r="AS281">
        <f>IF(AI281+AJ281=0,0,INT(100/D281))</f>
        <v/>
      </c>
      <c r="AT281">
        <f>IF(AO281="A",100,IF(AO281="B",67,33))</f>
        <v/>
      </c>
      <c r="AU281">
        <f>ROUND(0.40*AQ281+0.30*AR281+0.20*AS281+0.10*AT281,0)</f>
        <v/>
      </c>
      <c r="AV281" t="inlineStr"/>
    </row>
    <row r="282">
      <c r="A282" t="inlineStr"/>
      <c r="B282" t="inlineStr">
        <is>
          <t>2026-04-17</t>
        </is>
      </c>
      <c r="C282" t="inlineStr">
        <is>
          <t>2026-03-08</t>
        </is>
      </c>
      <c r="D282" t="n">
        <v>5</v>
      </c>
      <c r="E282" t="inlineStr">
        <is>
          <t>SKU_0005</t>
        </is>
      </c>
      <c r="F282" t="inlineStr">
        <is>
          <t>DC5</t>
        </is>
      </c>
      <c r="G282" t="inlineStr">
        <is>
          <t>F1</t>
        </is>
      </c>
      <c r="H282" t="inlineStr">
        <is>
          <t>Miami</t>
        </is>
      </c>
      <c r="I282" t="inlineStr">
        <is>
          <t>Southeast</t>
        </is>
      </c>
      <c r="J282" t="n">
        <v>25.7617</v>
      </c>
      <c r="K282" t="n">
        <v>-80.1918</v>
      </c>
      <c r="L282" t="inlineStr">
        <is>
          <t>DC</t>
        </is>
      </c>
      <c r="M282" t="inlineStr">
        <is>
          <t>Medical Devices &amp; Diagnostics</t>
        </is>
      </c>
      <c r="N282" t="n">
        <v>1313</v>
      </c>
      <c r="O282" t="n">
        <v>91</v>
      </c>
      <c r="P282" t="n">
        <v>0</v>
      </c>
      <c r="Q282" t="n">
        <v>91</v>
      </c>
      <c r="R282" t="n">
        <v>108</v>
      </c>
      <c r="S282" t="n">
        <v>0</v>
      </c>
      <c r="T282" t="n">
        <v>108</v>
      </c>
      <c r="U282" t="n">
        <v>0</v>
      </c>
      <c r="V282" t="n">
        <v>1330</v>
      </c>
      <c r="W282" t="n">
        <v>102.3</v>
      </c>
      <c r="X282" t="n">
        <v>3</v>
      </c>
      <c r="Y282" t="n">
        <v>28</v>
      </c>
      <c r="Z282" t="n">
        <v>414</v>
      </c>
      <c r="AA282" t="n">
        <v>21</v>
      </c>
      <c r="AB282" t="n">
        <v>310</v>
      </c>
      <c r="AC282" t="n">
        <v>93</v>
      </c>
      <c r="AD282" t="n">
        <v>1382</v>
      </c>
      <c r="AE282" t="n">
        <v>414</v>
      </c>
      <c r="AF282" t="n">
        <v>1382</v>
      </c>
      <c r="AG282" t="n">
        <v>100</v>
      </c>
      <c r="AH282" t="n">
        <v>0</v>
      </c>
      <c r="AI282" t="n">
        <v>0</v>
      </c>
      <c r="AJ282" t="n">
        <v>0</v>
      </c>
      <c r="AK282" t="inlineStr">
        <is>
          <t>MDS</t>
        </is>
      </c>
      <c r="AL282" t="inlineStr">
        <is>
          <t>None</t>
        </is>
      </c>
      <c r="AM282" t="inlineStr">
        <is>
          <t>None</t>
        </is>
      </c>
      <c r="AN282" t="inlineStr">
        <is>
          <t>Healthy</t>
        </is>
      </c>
      <c r="AO282" t="inlineStr">
        <is>
          <t>B</t>
        </is>
      </c>
      <c r="AP282" t="inlineStr"/>
      <c r="AQ282">
        <f>IF(AM282="P1",100,IF(AM282="P2",67,IF(AM282="P3",33,0)))</f>
        <v/>
      </c>
      <c r="AR282">
        <f>MIN(100,INT(IF(AI282&gt;0,AI282/Z282,AJ282/AD282)*100))</f>
        <v/>
      </c>
      <c r="AS282">
        <f>IF(AI282+AJ282=0,0,INT(100/D282))</f>
        <v/>
      </c>
      <c r="AT282">
        <f>IF(AO282="A",100,IF(AO282="B",67,33))</f>
        <v/>
      </c>
      <c r="AU282">
        <f>ROUND(0.40*AQ282+0.30*AR282+0.20*AS282+0.10*AT282,0)</f>
        <v/>
      </c>
      <c r="AV282" t="inlineStr"/>
    </row>
    <row r="283">
      <c r="A283" t="inlineStr">
        <is>
          <t>BD-24536581-00132</t>
        </is>
      </c>
      <c r="B283" t="inlineStr">
        <is>
          <t>2026-04-17</t>
        </is>
      </c>
      <c r="C283" t="inlineStr">
        <is>
          <t>2026-03-15</t>
        </is>
      </c>
      <c r="D283" t="n">
        <v>6</v>
      </c>
      <c r="E283" t="inlineStr">
        <is>
          <t>SKU_0005</t>
        </is>
      </c>
      <c r="F283" t="inlineStr">
        <is>
          <t>DC5</t>
        </is>
      </c>
      <c r="G283" t="inlineStr">
        <is>
          <t>F1</t>
        </is>
      </c>
      <c r="H283" t="inlineStr">
        <is>
          <t>Miami</t>
        </is>
      </c>
      <c r="I283" t="inlineStr">
        <is>
          <t>Southeast</t>
        </is>
      </c>
      <c r="J283" t="n">
        <v>25.7617</v>
      </c>
      <c r="K283" t="n">
        <v>-80.1918</v>
      </c>
      <c r="L283" t="inlineStr">
        <is>
          <t>DC</t>
        </is>
      </c>
      <c r="M283" t="inlineStr">
        <is>
          <t>Medical Devices &amp; Diagnostics</t>
        </is>
      </c>
      <c r="N283" t="n">
        <v>1330</v>
      </c>
      <c r="O283" t="n">
        <v>111</v>
      </c>
      <c r="P283" t="n">
        <v>0</v>
      </c>
      <c r="Q283" t="n">
        <v>111</v>
      </c>
      <c r="R283" t="n">
        <v>0</v>
      </c>
      <c r="S283" t="n">
        <v>616</v>
      </c>
      <c r="T283" t="n">
        <v>616</v>
      </c>
      <c r="U283" t="n">
        <v>0</v>
      </c>
      <c r="V283" t="n">
        <v>1835</v>
      </c>
      <c r="W283" t="n">
        <v>115.7</v>
      </c>
      <c r="X283" t="n">
        <v>3</v>
      </c>
      <c r="Y283" t="n">
        <v>28</v>
      </c>
      <c r="Z283" t="n">
        <v>414</v>
      </c>
      <c r="AA283" t="n">
        <v>21</v>
      </c>
      <c r="AB283" t="n">
        <v>310</v>
      </c>
      <c r="AC283" t="n">
        <v>93</v>
      </c>
      <c r="AD283" t="n">
        <v>1382</v>
      </c>
      <c r="AE283" t="n">
        <v>414</v>
      </c>
      <c r="AF283" t="n">
        <v>1382</v>
      </c>
      <c r="AG283" t="n">
        <v>100</v>
      </c>
      <c r="AH283" t="n">
        <v>32</v>
      </c>
      <c r="AI283" t="n">
        <v>0</v>
      </c>
      <c r="AJ283" t="n">
        <v>453</v>
      </c>
      <c r="AK283" t="inlineStr">
        <is>
          <t>MDS</t>
        </is>
      </c>
      <c r="AL283" t="inlineStr">
        <is>
          <t>High ESTN</t>
        </is>
      </c>
      <c r="AM283" t="inlineStr">
        <is>
          <t>P2</t>
        </is>
      </c>
      <c r="AN283" t="inlineStr">
        <is>
          <t>At-Risk Excess</t>
        </is>
      </c>
      <c r="AO283" t="inlineStr">
        <is>
          <t>B</t>
        </is>
      </c>
      <c r="AP283" t="inlineStr"/>
      <c r="AQ283">
        <f>IF(AM283="P1",100,IF(AM283="P2",67,IF(AM283="P3",33,0)))</f>
        <v/>
      </c>
      <c r="AR283">
        <f>MIN(100,INT(IF(AI283&gt;0,AI283/Z283,AJ283/AD283)*100))</f>
        <v/>
      </c>
      <c r="AS283">
        <f>IF(AI283+AJ283=0,0,INT(100/D283))</f>
        <v/>
      </c>
      <c r="AT283">
        <f>IF(AO283="A",100,IF(AO283="B",67,33))</f>
        <v/>
      </c>
      <c r="AU283">
        <f>ROUND(0.40*AQ283+0.30*AR283+0.20*AS283+0.10*AT283,0)</f>
        <v/>
      </c>
      <c r="AV283" t="inlineStr">
        <is>
          <t>Opening inventory of 1330 and supply of 616 exceed the demand of 111, resulting in a projected surplus of 1835. This inventory levels violates the maximum stock threshold of 1382 units by 453 units, increasing holding risk.</t>
        </is>
      </c>
    </row>
    <row r="284">
      <c r="A284" t="inlineStr">
        <is>
          <t>BD-24536581-00133</t>
        </is>
      </c>
      <c r="B284" t="inlineStr">
        <is>
          <t>2026-04-17</t>
        </is>
      </c>
      <c r="C284" t="inlineStr">
        <is>
          <t>2026-03-22</t>
        </is>
      </c>
      <c r="D284" t="n">
        <v>7</v>
      </c>
      <c r="E284" t="inlineStr">
        <is>
          <t>SKU_0005</t>
        </is>
      </c>
      <c r="F284" t="inlineStr">
        <is>
          <t>DC5</t>
        </is>
      </c>
      <c r="G284" t="inlineStr">
        <is>
          <t>F1</t>
        </is>
      </c>
      <c r="H284" t="inlineStr">
        <is>
          <t>Miami</t>
        </is>
      </c>
      <c r="I284" t="inlineStr">
        <is>
          <t>Southeast</t>
        </is>
      </c>
      <c r="J284" t="n">
        <v>25.7617</v>
      </c>
      <c r="K284" t="n">
        <v>-80.1918</v>
      </c>
      <c r="L284" t="inlineStr">
        <is>
          <t>DC</t>
        </is>
      </c>
      <c r="M284" t="inlineStr">
        <is>
          <t>Medical Devices &amp; Diagnostics</t>
        </is>
      </c>
      <c r="N284" t="n">
        <v>1835</v>
      </c>
      <c r="O284" t="n">
        <v>118</v>
      </c>
      <c r="P284" t="n">
        <v>0</v>
      </c>
      <c r="Q284" t="n">
        <v>118</v>
      </c>
      <c r="R284" t="n">
        <v>309</v>
      </c>
      <c r="S284" t="n">
        <v>0</v>
      </c>
      <c r="T284" t="n">
        <v>309</v>
      </c>
      <c r="U284" t="n">
        <v>0</v>
      </c>
      <c r="V284" t="n">
        <v>2026</v>
      </c>
      <c r="W284" t="n">
        <v>120.2</v>
      </c>
      <c r="X284" t="n">
        <v>3</v>
      </c>
      <c r="Y284" t="n">
        <v>28</v>
      </c>
      <c r="Z284" t="n">
        <v>414</v>
      </c>
      <c r="AA284" t="n">
        <v>21</v>
      </c>
      <c r="AB284" t="n">
        <v>310</v>
      </c>
      <c r="AC284" t="n">
        <v>93</v>
      </c>
      <c r="AD284" t="n">
        <v>1382</v>
      </c>
      <c r="AE284" t="n">
        <v>414</v>
      </c>
      <c r="AF284" t="n">
        <v>1382</v>
      </c>
      <c r="AG284" t="n">
        <v>100</v>
      </c>
      <c r="AH284" t="n">
        <v>46</v>
      </c>
      <c r="AI284" t="n">
        <v>0</v>
      </c>
      <c r="AJ284" t="n">
        <v>644</v>
      </c>
      <c r="AK284" t="inlineStr">
        <is>
          <t>MDS</t>
        </is>
      </c>
      <c r="AL284" t="inlineStr">
        <is>
          <t>High ESTN</t>
        </is>
      </c>
      <c r="AM284" t="inlineStr">
        <is>
          <t>P2</t>
        </is>
      </c>
      <c r="AN284" t="inlineStr">
        <is>
          <t>At-Risk Excess</t>
        </is>
      </c>
      <c r="AO284" t="inlineStr">
        <is>
          <t>B</t>
        </is>
      </c>
      <c r="AP284" t="inlineStr"/>
      <c r="AQ284">
        <f>IF(AM284="P1",100,IF(AM284="P2",67,IF(AM284="P3",33,0)))</f>
        <v/>
      </c>
      <c r="AR284">
        <f>MIN(100,INT(IF(AI284&gt;0,AI284/Z284,AJ284/AD284)*100))</f>
        <v/>
      </c>
      <c r="AS284">
        <f>IF(AI284+AJ284=0,0,INT(100/D284))</f>
        <v/>
      </c>
      <c r="AT284">
        <f>IF(AO284="A",100,IF(AO284="B",67,33))</f>
        <v/>
      </c>
      <c r="AU284">
        <f>ROUND(0.40*AQ284+0.30*AR284+0.20*AS284+0.10*AT284,0)</f>
        <v/>
      </c>
      <c r="AV284" t="inlineStr">
        <is>
          <t>Opening inventory of 1835 and supply of 0 exceed the demand of 118, resulting in a projected surplus of 2026. This inventory levels violates the maximum stock threshold of 1382 units by 644 units, increasing holding risk.</t>
        </is>
      </c>
    </row>
    <row r="285">
      <c r="A285" t="inlineStr">
        <is>
          <t>BD-24536581-00134</t>
        </is>
      </c>
      <c r="B285" t="inlineStr">
        <is>
          <t>2026-04-17</t>
        </is>
      </c>
      <c r="C285" t="inlineStr">
        <is>
          <t>2026-03-29</t>
        </is>
      </c>
      <c r="D285" t="n">
        <v>8</v>
      </c>
      <c r="E285" t="inlineStr">
        <is>
          <t>SKU_0005</t>
        </is>
      </c>
      <c r="F285" t="inlineStr">
        <is>
          <t>DC5</t>
        </is>
      </c>
      <c r="G285" t="inlineStr">
        <is>
          <t>F1</t>
        </is>
      </c>
      <c r="H285" t="inlineStr">
        <is>
          <t>Miami</t>
        </is>
      </c>
      <c r="I285" t="inlineStr">
        <is>
          <t>Southeast</t>
        </is>
      </c>
      <c r="J285" t="n">
        <v>25.7617</v>
      </c>
      <c r="K285" t="n">
        <v>-80.1918</v>
      </c>
      <c r="L285" t="inlineStr">
        <is>
          <t>DC</t>
        </is>
      </c>
      <c r="M285" t="inlineStr">
        <is>
          <t>Medical Devices &amp; Diagnostics</t>
        </is>
      </c>
      <c r="N285" t="n">
        <v>2026</v>
      </c>
      <c r="O285" t="n">
        <v>125</v>
      </c>
      <c r="P285" t="n">
        <v>0</v>
      </c>
      <c r="Q285" t="n">
        <v>125</v>
      </c>
      <c r="R285" t="n">
        <v>0</v>
      </c>
      <c r="S285" t="n">
        <v>0</v>
      </c>
      <c r="T285" t="n">
        <v>0</v>
      </c>
      <c r="U285" t="n">
        <v>0</v>
      </c>
      <c r="V285" t="n">
        <v>1901</v>
      </c>
      <c r="W285" t="n">
        <v>106.5</v>
      </c>
      <c r="X285" t="n">
        <v>3</v>
      </c>
      <c r="Y285" t="n">
        <v>28</v>
      </c>
      <c r="Z285" t="n">
        <v>414</v>
      </c>
      <c r="AA285" t="n">
        <v>21</v>
      </c>
      <c r="AB285" t="n">
        <v>310</v>
      </c>
      <c r="AC285" t="n">
        <v>93</v>
      </c>
      <c r="AD285" t="n">
        <v>1382</v>
      </c>
      <c r="AE285" t="n">
        <v>414</v>
      </c>
      <c r="AF285" t="n">
        <v>1382</v>
      </c>
      <c r="AG285" t="n">
        <v>100</v>
      </c>
      <c r="AH285" t="n">
        <v>37</v>
      </c>
      <c r="AI285" t="n">
        <v>0</v>
      </c>
      <c r="AJ285" t="n">
        <v>519</v>
      </c>
      <c r="AK285" t="inlineStr">
        <is>
          <t>MDS</t>
        </is>
      </c>
      <c r="AL285" t="inlineStr">
        <is>
          <t>High ESTN</t>
        </is>
      </c>
      <c r="AM285" t="inlineStr">
        <is>
          <t>P2</t>
        </is>
      </c>
      <c r="AN285" t="inlineStr">
        <is>
          <t>At-Risk Excess</t>
        </is>
      </c>
      <c r="AO285" t="inlineStr">
        <is>
          <t>B</t>
        </is>
      </c>
      <c r="AP285" t="inlineStr"/>
      <c r="AQ285">
        <f>IF(AM285="P1",100,IF(AM285="P2",67,IF(AM285="P3",33,0)))</f>
        <v/>
      </c>
      <c r="AR285">
        <f>MIN(100,INT(IF(AI285&gt;0,AI285/Z285,AJ285/AD285)*100))</f>
        <v/>
      </c>
      <c r="AS285">
        <f>IF(AI285+AJ285=0,0,INT(100/D285))</f>
        <v/>
      </c>
      <c r="AT285">
        <f>IF(AO285="A",100,IF(AO285="B",67,33))</f>
        <v/>
      </c>
      <c r="AU285">
        <f>ROUND(0.40*AQ285+0.30*AR285+0.20*AS285+0.10*AT285,0)</f>
        <v/>
      </c>
      <c r="AV285" t="inlineStr">
        <is>
          <t>Opening inventory of 2026 and supply of 0 exceed the demand of 125, resulting in a projected surplus of 1901. This inventory levels violates the maximum stock threshold of 1382 units by 519 units, increasing holding risk.</t>
        </is>
      </c>
    </row>
    <row r="286">
      <c r="A286" t="inlineStr">
        <is>
          <t>BD-24536581-00135</t>
        </is>
      </c>
      <c r="B286" t="inlineStr">
        <is>
          <t>2026-04-17</t>
        </is>
      </c>
      <c r="C286" t="inlineStr">
        <is>
          <t>2026-04-05</t>
        </is>
      </c>
      <c r="D286" t="n">
        <v>9</v>
      </c>
      <c r="E286" t="inlineStr">
        <is>
          <t>SKU_0005</t>
        </is>
      </c>
      <c r="F286" t="inlineStr">
        <is>
          <t>DC5</t>
        </is>
      </c>
      <c r="G286" t="inlineStr">
        <is>
          <t>F1</t>
        </is>
      </c>
      <c r="H286" t="inlineStr">
        <is>
          <t>Miami</t>
        </is>
      </c>
      <c r="I286" t="inlineStr">
        <is>
          <t>Southeast</t>
        </is>
      </c>
      <c r="J286" t="n">
        <v>25.7617</v>
      </c>
      <c r="K286" t="n">
        <v>-80.1918</v>
      </c>
      <c r="L286" t="inlineStr">
        <is>
          <t>DC</t>
        </is>
      </c>
      <c r="M286" t="inlineStr">
        <is>
          <t>Medical Devices &amp; Diagnostics</t>
        </is>
      </c>
      <c r="N286" t="n">
        <v>1901</v>
      </c>
      <c r="O286" t="n">
        <v>112</v>
      </c>
      <c r="P286" t="n">
        <v>0</v>
      </c>
      <c r="Q286" t="n">
        <v>112</v>
      </c>
      <c r="R286" t="n">
        <v>120</v>
      </c>
      <c r="S286" t="n">
        <v>0</v>
      </c>
      <c r="T286" t="n">
        <v>120</v>
      </c>
      <c r="U286" t="n">
        <v>0</v>
      </c>
      <c r="V286" t="n">
        <v>1909</v>
      </c>
      <c r="W286" t="n">
        <v>119.3</v>
      </c>
      <c r="X286" t="n">
        <v>3</v>
      </c>
      <c r="Y286" t="n">
        <v>28</v>
      </c>
      <c r="Z286" t="n">
        <v>414</v>
      </c>
      <c r="AA286" t="n">
        <v>21</v>
      </c>
      <c r="AB286" t="n">
        <v>310</v>
      </c>
      <c r="AC286" t="n">
        <v>93</v>
      </c>
      <c r="AD286" t="n">
        <v>1382</v>
      </c>
      <c r="AE286" t="n">
        <v>414</v>
      </c>
      <c r="AF286" t="n">
        <v>1382</v>
      </c>
      <c r="AG286" t="n">
        <v>100</v>
      </c>
      <c r="AH286" t="n">
        <v>38</v>
      </c>
      <c r="AI286" t="n">
        <v>0</v>
      </c>
      <c r="AJ286" t="n">
        <v>527</v>
      </c>
      <c r="AK286" t="inlineStr">
        <is>
          <t>MDS</t>
        </is>
      </c>
      <c r="AL286" t="inlineStr">
        <is>
          <t>High ESTN</t>
        </is>
      </c>
      <c r="AM286" t="inlineStr">
        <is>
          <t>P2</t>
        </is>
      </c>
      <c r="AN286" t="inlineStr">
        <is>
          <t>At-Risk Excess</t>
        </is>
      </c>
      <c r="AO286" t="inlineStr">
        <is>
          <t>B</t>
        </is>
      </c>
      <c r="AP286" t="inlineStr"/>
      <c r="AQ286">
        <f>IF(AM286="P1",100,IF(AM286="P2",67,IF(AM286="P3",33,0)))</f>
        <v/>
      </c>
      <c r="AR286">
        <f>MIN(100,INT(IF(AI286&gt;0,AI286/Z286,AJ286/AD286)*100))</f>
        <v/>
      </c>
      <c r="AS286">
        <f>IF(AI286+AJ286=0,0,INT(100/D286))</f>
        <v/>
      </c>
      <c r="AT286">
        <f>IF(AO286="A",100,IF(AO286="B",67,33))</f>
        <v/>
      </c>
      <c r="AU286">
        <f>ROUND(0.40*AQ286+0.30*AR286+0.20*AS286+0.10*AT286,0)</f>
        <v/>
      </c>
      <c r="AV286" t="inlineStr">
        <is>
          <t>Opening inventory of 1901 and supply of 0 exceed the demand of 112, resulting in a projected surplus of 1909. This inventory levels violates the maximum stock threshold of 1382 units by 527 units, increasing holding risk.</t>
        </is>
      </c>
    </row>
    <row r="287">
      <c r="A287" t="inlineStr">
        <is>
          <t>BD-24536581-00136</t>
        </is>
      </c>
      <c r="B287" t="inlineStr">
        <is>
          <t>2026-04-17</t>
        </is>
      </c>
      <c r="C287" t="inlineStr">
        <is>
          <t>2026-04-12</t>
        </is>
      </c>
      <c r="D287" t="n">
        <v>10</v>
      </c>
      <c r="E287" t="inlineStr">
        <is>
          <t>SKU_0005</t>
        </is>
      </c>
      <c r="F287" t="inlineStr">
        <is>
          <t>DC5</t>
        </is>
      </c>
      <c r="G287" t="inlineStr">
        <is>
          <t>F1</t>
        </is>
      </c>
      <c r="H287" t="inlineStr">
        <is>
          <t>Miami</t>
        </is>
      </c>
      <c r="I287" t="inlineStr">
        <is>
          <t>Southeast</t>
        </is>
      </c>
      <c r="J287" t="n">
        <v>25.7617</v>
      </c>
      <c r="K287" t="n">
        <v>-80.1918</v>
      </c>
      <c r="L287" t="inlineStr">
        <is>
          <t>DC</t>
        </is>
      </c>
      <c r="M287" t="inlineStr">
        <is>
          <t>Medical Devices &amp; Diagnostics</t>
        </is>
      </c>
      <c r="N287" t="n">
        <v>1909</v>
      </c>
      <c r="O287" t="n">
        <v>93</v>
      </c>
      <c r="P287" t="n">
        <v>0</v>
      </c>
      <c r="Q287" t="n">
        <v>93</v>
      </c>
      <c r="R287" t="n">
        <v>0</v>
      </c>
      <c r="S287" t="n">
        <v>0</v>
      </c>
      <c r="T287" t="n">
        <v>0</v>
      </c>
      <c r="U287" t="n">
        <v>0</v>
      </c>
      <c r="V287" t="n">
        <v>1816</v>
      </c>
      <c r="W287" t="n">
        <v>136.7</v>
      </c>
      <c r="X287" t="n">
        <v>3</v>
      </c>
      <c r="Y287" t="n">
        <v>28</v>
      </c>
      <c r="Z287" t="n">
        <v>414</v>
      </c>
      <c r="AA287" t="n">
        <v>21</v>
      </c>
      <c r="AB287" t="n">
        <v>310</v>
      </c>
      <c r="AC287" t="n">
        <v>93</v>
      </c>
      <c r="AD287" t="n">
        <v>1382</v>
      </c>
      <c r="AE287" t="n">
        <v>414</v>
      </c>
      <c r="AF287" t="n">
        <v>1382</v>
      </c>
      <c r="AG287" t="n">
        <v>100</v>
      </c>
      <c r="AH287" t="n">
        <v>31</v>
      </c>
      <c r="AI287" t="n">
        <v>0</v>
      </c>
      <c r="AJ287" t="n">
        <v>434</v>
      </c>
      <c r="AK287" t="inlineStr">
        <is>
          <t>MDS</t>
        </is>
      </c>
      <c r="AL287" t="inlineStr">
        <is>
          <t>High ESTN</t>
        </is>
      </c>
      <c r="AM287" t="inlineStr">
        <is>
          <t>P2</t>
        </is>
      </c>
      <c r="AN287" t="inlineStr">
        <is>
          <t>At-Risk Excess</t>
        </is>
      </c>
      <c r="AO287" t="inlineStr">
        <is>
          <t>B</t>
        </is>
      </c>
      <c r="AP287" t="inlineStr"/>
      <c r="AQ287">
        <f>IF(AM287="P1",100,IF(AM287="P2",67,IF(AM287="P3",33,0)))</f>
        <v/>
      </c>
      <c r="AR287">
        <f>MIN(100,INT(IF(AI287&gt;0,AI287/Z287,AJ287/AD287)*100))</f>
        <v/>
      </c>
      <c r="AS287">
        <f>IF(AI287+AJ287=0,0,INT(100/D287))</f>
        <v/>
      </c>
      <c r="AT287">
        <f>IF(AO287="A",100,IF(AO287="B",67,33))</f>
        <v/>
      </c>
      <c r="AU287">
        <f>ROUND(0.40*AQ287+0.30*AR287+0.20*AS287+0.10*AT287,0)</f>
        <v/>
      </c>
      <c r="AV287" t="inlineStr">
        <is>
          <t>Opening inventory of 1909 and supply of 0 exceed the demand of 93, resulting in a projected surplus of 1816. This inventory levels violates the maximum stock threshold of 1382 units by 434 units, increasing holding risk.</t>
        </is>
      </c>
    </row>
    <row r="288">
      <c r="A288" t="inlineStr">
        <is>
          <t>BD-24536581-00137</t>
        </is>
      </c>
      <c r="B288" t="inlineStr">
        <is>
          <t>2026-04-17</t>
        </is>
      </c>
      <c r="C288" t="inlineStr">
        <is>
          <t>2026-04-19</t>
        </is>
      </c>
      <c r="D288" t="n">
        <v>11</v>
      </c>
      <c r="E288" t="inlineStr">
        <is>
          <t>SKU_0005</t>
        </is>
      </c>
      <c r="F288" t="inlineStr">
        <is>
          <t>DC5</t>
        </is>
      </c>
      <c r="G288" t="inlineStr">
        <is>
          <t>F1</t>
        </is>
      </c>
      <c r="H288" t="inlineStr">
        <is>
          <t>Miami</t>
        </is>
      </c>
      <c r="I288" t="inlineStr">
        <is>
          <t>Southeast</t>
        </is>
      </c>
      <c r="J288" t="n">
        <v>25.7617</v>
      </c>
      <c r="K288" t="n">
        <v>-80.1918</v>
      </c>
      <c r="L288" t="inlineStr">
        <is>
          <t>DC</t>
        </is>
      </c>
      <c r="M288" t="inlineStr">
        <is>
          <t>Medical Devices &amp; Diagnostics</t>
        </is>
      </c>
      <c r="N288" t="n">
        <v>1816</v>
      </c>
      <c r="O288" t="n">
        <v>98</v>
      </c>
      <c r="P288" t="n">
        <v>0</v>
      </c>
      <c r="Q288" t="n">
        <v>98</v>
      </c>
      <c r="R288" t="n">
        <v>0</v>
      </c>
      <c r="S288" t="n">
        <v>0</v>
      </c>
      <c r="T288" t="n">
        <v>0</v>
      </c>
      <c r="U288" t="n">
        <v>0</v>
      </c>
      <c r="V288" t="n">
        <v>1718</v>
      </c>
      <c r="W288" t="n">
        <v>122.7</v>
      </c>
      <c r="X288" t="n">
        <v>3</v>
      </c>
      <c r="Y288" t="n">
        <v>28</v>
      </c>
      <c r="Z288" t="n">
        <v>414</v>
      </c>
      <c r="AA288" t="n">
        <v>21</v>
      </c>
      <c r="AB288" t="n">
        <v>310</v>
      </c>
      <c r="AC288" t="n">
        <v>93</v>
      </c>
      <c r="AD288" t="n">
        <v>1382</v>
      </c>
      <c r="AE288" t="n">
        <v>414</v>
      </c>
      <c r="AF288" t="n">
        <v>1382</v>
      </c>
      <c r="AG288" t="n">
        <v>100</v>
      </c>
      <c r="AH288" t="n">
        <v>24</v>
      </c>
      <c r="AI288" t="n">
        <v>0</v>
      </c>
      <c r="AJ288" t="n">
        <v>336</v>
      </c>
      <c r="AK288" t="inlineStr">
        <is>
          <t>MDS</t>
        </is>
      </c>
      <c r="AL288" t="inlineStr">
        <is>
          <t>High ESTN</t>
        </is>
      </c>
      <c r="AM288" t="inlineStr">
        <is>
          <t>P2</t>
        </is>
      </c>
      <c r="AN288" t="inlineStr">
        <is>
          <t>At-Risk Excess</t>
        </is>
      </c>
      <c r="AO288" t="inlineStr">
        <is>
          <t>B</t>
        </is>
      </c>
      <c r="AP288" t="inlineStr"/>
      <c r="AQ288">
        <f>IF(AM288="P1",100,IF(AM288="P2",67,IF(AM288="P3",33,0)))</f>
        <v/>
      </c>
      <c r="AR288">
        <f>MIN(100,INT(IF(AI288&gt;0,AI288/Z288,AJ288/AD288)*100))</f>
        <v/>
      </c>
      <c r="AS288">
        <f>IF(AI288+AJ288=0,0,INT(100/D288))</f>
        <v/>
      </c>
      <c r="AT288">
        <f>IF(AO288="A",100,IF(AO288="B",67,33))</f>
        <v/>
      </c>
      <c r="AU288">
        <f>ROUND(0.40*AQ288+0.30*AR288+0.20*AS288+0.10*AT288,0)</f>
        <v/>
      </c>
      <c r="AV288" t="inlineStr">
        <is>
          <t>Opening inventory of 1816 and supply of 0 exceed the demand of 98, resulting in a projected surplus of 1718. This inventory levels violates the maximum stock threshold of 1382 units by 336 units, increasing holding risk.</t>
        </is>
      </c>
    </row>
    <row r="289">
      <c r="A289" t="inlineStr"/>
      <c r="B289" t="inlineStr">
        <is>
          <t>2026-04-17</t>
        </is>
      </c>
      <c r="C289" t="inlineStr">
        <is>
          <t>2026-04-26</t>
        </is>
      </c>
      <c r="D289" t="n">
        <v>12</v>
      </c>
      <c r="E289" t="inlineStr">
        <is>
          <t>SKU_0005</t>
        </is>
      </c>
      <c r="F289" t="inlineStr">
        <is>
          <t>DC5</t>
        </is>
      </c>
      <c r="G289" t="inlineStr">
        <is>
          <t>F1</t>
        </is>
      </c>
      <c r="H289" t="inlineStr">
        <is>
          <t>Miami</t>
        </is>
      </c>
      <c r="I289" t="inlineStr">
        <is>
          <t>Southeast</t>
        </is>
      </c>
      <c r="J289" t="n">
        <v>25.7617</v>
      </c>
      <c r="K289" t="n">
        <v>-80.1918</v>
      </c>
      <c r="L289" t="inlineStr">
        <is>
          <t>DC</t>
        </is>
      </c>
      <c r="M289" t="inlineStr">
        <is>
          <t>Medical Devices &amp; Diagnostics</t>
        </is>
      </c>
      <c r="N289" t="n">
        <v>1718</v>
      </c>
      <c r="O289" t="n">
        <v>79</v>
      </c>
      <c r="P289" t="n">
        <v>0</v>
      </c>
      <c r="Q289" t="n">
        <v>79</v>
      </c>
      <c r="R289" t="n">
        <v>0</v>
      </c>
      <c r="S289" t="n">
        <v>0</v>
      </c>
      <c r="T289" t="n">
        <v>0</v>
      </c>
      <c r="U289" t="n">
        <v>0</v>
      </c>
      <c r="V289" t="n">
        <v>1639</v>
      </c>
      <c r="W289" t="n">
        <v>145.2</v>
      </c>
      <c r="X289" t="n">
        <v>3</v>
      </c>
      <c r="Y289" t="n">
        <v>28</v>
      </c>
      <c r="Z289" t="n">
        <v>414</v>
      </c>
      <c r="AA289" t="n">
        <v>21</v>
      </c>
      <c r="AB289" t="n">
        <v>310</v>
      </c>
      <c r="AC289" t="n">
        <v>93</v>
      </c>
      <c r="AD289" t="n">
        <v>1382</v>
      </c>
      <c r="AE289" t="n">
        <v>414</v>
      </c>
      <c r="AF289" t="n">
        <v>1382</v>
      </c>
      <c r="AG289" t="n">
        <v>100</v>
      </c>
      <c r="AH289" t="n">
        <v>18</v>
      </c>
      <c r="AI289" t="n">
        <v>0</v>
      </c>
      <c r="AJ289" t="n">
        <v>257</v>
      </c>
      <c r="AK289" t="inlineStr">
        <is>
          <t>MDS</t>
        </is>
      </c>
      <c r="AL289" t="inlineStr">
        <is>
          <t>None</t>
        </is>
      </c>
      <c r="AM289" t="inlineStr">
        <is>
          <t>None</t>
        </is>
      </c>
      <c r="AN289" t="inlineStr">
        <is>
          <t>Healthy</t>
        </is>
      </c>
      <c r="AO289" t="inlineStr">
        <is>
          <t>B</t>
        </is>
      </c>
      <c r="AP289" t="inlineStr"/>
      <c r="AQ289">
        <f>IF(AM289="P1",100,IF(AM289="P2",67,IF(AM289="P3",33,0)))</f>
        <v/>
      </c>
      <c r="AR289">
        <f>MIN(100,INT(IF(AI289&gt;0,AI289/Z289,AJ289/AD289)*100))</f>
        <v/>
      </c>
      <c r="AS289">
        <f>IF(AI289+AJ289=0,0,INT(100/D289))</f>
        <v/>
      </c>
      <c r="AT289">
        <f>IF(AO289="A",100,IF(AO289="B",67,33))</f>
        <v/>
      </c>
      <c r="AU289">
        <f>ROUND(0.40*AQ289+0.30*AR289+0.20*AS289+0.10*AT289,0)</f>
        <v/>
      </c>
      <c r="AV289" t="inlineStr"/>
    </row>
    <row r="290">
      <c r="A290" t="inlineStr"/>
      <c r="B290" t="inlineStr">
        <is>
          <t>2026-04-17</t>
        </is>
      </c>
      <c r="C290" t="inlineStr">
        <is>
          <t>2026-02-08</t>
        </is>
      </c>
      <c r="D290" t="n">
        <v>1</v>
      </c>
      <c r="E290" t="inlineStr">
        <is>
          <t>SKU_0005</t>
        </is>
      </c>
      <c r="F290" t="inlineStr">
        <is>
          <t>F1</t>
        </is>
      </c>
      <c r="G290" t="inlineStr">
        <is>
          <t>F1</t>
        </is>
      </c>
      <c r="H290" t="inlineStr">
        <is>
          <t>Detroit</t>
        </is>
      </c>
      <c r="I290" t="inlineStr">
        <is>
          <t>Midwest</t>
        </is>
      </c>
      <c r="J290" t="n">
        <v>42.3314</v>
      </c>
      <c r="K290" t="n">
        <v>-83.0458</v>
      </c>
      <c r="L290" t="inlineStr">
        <is>
          <t>Factory</t>
        </is>
      </c>
      <c r="M290" t="inlineStr">
        <is>
          <t>Medical Devices &amp; Diagnostics</t>
        </is>
      </c>
      <c r="N290" t="n">
        <v>1524</v>
      </c>
      <c r="O290" t="n">
        <v>985</v>
      </c>
      <c r="P290" t="n">
        <v>0</v>
      </c>
      <c r="Q290" t="n">
        <v>985</v>
      </c>
      <c r="R290" t="n">
        <v>0</v>
      </c>
      <c r="S290" t="n">
        <v>1871</v>
      </c>
      <c r="T290" t="n">
        <v>1871</v>
      </c>
      <c r="U290" t="n">
        <v>0</v>
      </c>
      <c r="V290" t="n">
        <v>2410</v>
      </c>
      <c r="W290" t="n">
        <v>17.1</v>
      </c>
      <c r="X290" t="n">
        <v>4</v>
      </c>
      <c r="Y290" t="n">
        <v>28</v>
      </c>
      <c r="Z290" t="n">
        <v>1033</v>
      </c>
      <c r="AA290" t="n">
        <v>28</v>
      </c>
      <c r="AB290" t="n">
        <v>1033</v>
      </c>
      <c r="AC290" t="n">
        <v>84</v>
      </c>
      <c r="AD290" t="n">
        <v>3086</v>
      </c>
      <c r="AE290" t="n">
        <v>1033</v>
      </c>
      <c r="AF290" t="n">
        <v>3086</v>
      </c>
      <c r="AG290" t="n">
        <v>100</v>
      </c>
      <c r="AH290" t="n">
        <v>0</v>
      </c>
      <c r="AI290" t="n">
        <v>0</v>
      </c>
      <c r="AJ290" t="n">
        <v>0</v>
      </c>
      <c r="AK290" t="inlineStr">
        <is>
          <t>MDS</t>
        </is>
      </c>
      <c r="AL290" t="inlineStr">
        <is>
          <t>None</t>
        </is>
      </c>
      <c r="AM290" t="inlineStr">
        <is>
          <t>None</t>
        </is>
      </c>
      <c r="AN290" t="inlineStr">
        <is>
          <t>Healthy</t>
        </is>
      </c>
      <c r="AO290" t="inlineStr">
        <is>
          <t>B</t>
        </is>
      </c>
      <c r="AP290" t="inlineStr"/>
      <c r="AQ290">
        <f>IF(AM290="P1",100,IF(AM290="P2",67,IF(AM290="P3",33,0)))</f>
        <v/>
      </c>
      <c r="AR290">
        <f>MIN(100,INT(IF(AI290&gt;0,AI290/Z290,AJ290/AD290)*100))</f>
        <v/>
      </c>
      <c r="AS290">
        <f>IF(AI290+AJ290=0,0,INT(100/D290))</f>
        <v/>
      </c>
      <c r="AT290">
        <f>IF(AO290="A",100,IF(AO290="B",67,33))</f>
        <v/>
      </c>
      <c r="AU290">
        <f>ROUND(0.40*AQ290+0.30*AR290+0.20*AS290+0.10*AT290,0)</f>
        <v/>
      </c>
      <c r="AV290" t="inlineStr"/>
    </row>
    <row r="291">
      <c r="A291" t="inlineStr"/>
      <c r="B291" t="inlineStr">
        <is>
          <t>2026-04-17</t>
        </is>
      </c>
      <c r="C291" t="inlineStr">
        <is>
          <t>2026-02-15</t>
        </is>
      </c>
      <c r="D291" t="n">
        <v>2</v>
      </c>
      <c r="E291" t="inlineStr">
        <is>
          <t>SKU_0005</t>
        </is>
      </c>
      <c r="F291" t="inlineStr">
        <is>
          <t>F1</t>
        </is>
      </c>
      <c r="G291" t="inlineStr">
        <is>
          <t>F1</t>
        </is>
      </c>
      <c r="H291" t="inlineStr">
        <is>
          <t>Detroit</t>
        </is>
      </c>
      <c r="I291" t="inlineStr">
        <is>
          <t>Midwest</t>
        </is>
      </c>
      <c r="J291" t="n">
        <v>42.3314</v>
      </c>
      <c r="K291" t="n">
        <v>-83.0458</v>
      </c>
      <c r="L291" t="inlineStr">
        <is>
          <t>Factory</t>
        </is>
      </c>
      <c r="M291" t="inlineStr">
        <is>
          <t>Medical Devices &amp; Diagnostics</t>
        </is>
      </c>
      <c r="N291" t="n">
        <v>2410</v>
      </c>
      <c r="O291" t="n">
        <v>290</v>
      </c>
      <c r="P291" t="n">
        <v>0</v>
      </c>
      <c r="Q291" t="n">
        <v>290</v>
      </c>
      <c r="R291" t="n">
        <v>0</v>
      </c>
      <c r="S291" t="n">
        <v>890</v>
      </c>
      <c r="T291" t="n">
        <v>890</v>
      </c>
      <c r="U291" t="n">
        <v>0</v>
      </c>
      <c r="V291" t="n">
        <v>3010</v>
      </c>
      <c r="W291" t="n">
        <v>72.7</v>
      </c>
      <c r="X291" t="n">
        <v>4</v>
      </c>
      <c r="Y291" t="n">
        <v>28</v>
      </c>
      <c r="Z291" t="n">
        <v>1033</v>
      </c>
      <c r="AA291" t="n">
        <v>28</v>
      </c>
      <c r="AB291" t="n">
        <v>1033</v>
      </c>
      <c r="AC291" t="n">
        <v>84</v>
      </c>
      <c r="AD291" t="n">
        <v>3086</v>
      </c>
      <c r="AE291" t="n">
        <v>1033</v>
      </c>
      <c r="AF291" t="n">
        <v>3086</v>
      </c>
      <c r="AG291" t="n">
        <v>100</v>
      </c>
      <c r="AH291" t="n">
        <v>0</v>
      </c>
      <c r="AI291" t="n">
        <v>0</v>
      </c>
      <c r="AJ291" t="n">
        <v>0</v>
      </c>
      <c r="AK291" t="inlineStr">
        <is>
          <t>MDS</t>
        </is>
      </c>
      <c r="AL291" t="inlineStr">
        <is>
          <t>None</t>
        </is>
      </c>
      <c r="AM291" t="inlineStr">
        <is>
          <t>None</t>
        </is>
      </c>
      <c r="AN291" t="inlineStr">
        <is>
          <t>Healthy</t>
        </is>
      </c>
      <c r="AO291" t="inlineStr">
        <is>
          <t>B</t>
        </is>
      </c>
      <c r="AP291" t="inlineStr"/>
      <c r="AQ291">
        <f>IF(AM291="P1",100,IF(AM291="P2",67,IF(AM291="P3",33,0)))</f>
        <v/>
      </c>
      <c r="AR291">
        <f>MIN(100,INT(IF(AI291&gt;0,AI291/Z291,AJ291/AD291)*100))</f>
        <v/>
      </c>
      <c r="AS291">
        <f>IF(AI291+AJ291=0,0,INT(100/D291))</f>
        <v/>
      </c>
      <c r="AT291">
        <f>IF(AO291="A",100,IF(AO291="B",67,33))</f>
        <v/>
      </c>
      <c r="AU291">
        <f>ROUND(0.40*AQ291+0.30*AR291+0.20*AS291+0.10*AT291,0)</f>
        <v/>
      </c>
      <c r="AV291" t="inlineStr"/>
    </row>
    <row r="292">
      <c r="A292" t="inlineStr"/>
      <c r="B292" t="inlineStr">
        <is>
          <t>2026-04-17</t>
        </is>
      </c>
      <c r="C292" t="inlineStr">
        <is>
          <t>2026-02-22</t>
        </is>
      </c>
      <c r="D292" t="n">
        <v>3</v>
      </c>
      <c r="E292" t="inlineStr">
        <is>
          <t>SKU_0005</t>
        </is>
      </c>
      <c r="F292" t="inlineStr">
        <is>
          <t>F1</t>
        </is>
      </c>
      <c r="G292" t="inlineStr">
        <is>
          <t>F1</t>
        </is>
      </c>
      <c r="H292" t="inlineStr">
        <is>
          <t>Detroit</t>
        </is>
      </c>
      <c r="I292" t="inlineStr">
        <is>
          <t>Midwest</t>
        </is>
      </c>
      <c r="J292" t="n">
        <v>42.3314</v>
      </c>
      <c r="K292" t="n">
        <v>-83.0458</v>
      </c>
      <c r="L292" t="inlineStr">
        <is>
          <t>Factory</t>
        </is>
      </c>
      <c r="M292" t="inlineStr">
        <is>
          <t>Medical Devices &amp; Diagnostics</t>
        </is>
      </c>
      <c r="N292" t="n">
        <v>3010</v>
      </c>
      <c r="O292" t="n">
        <v>198</v>
      </c>
      <c r="P292" t="n">
        <v>0</v>
      </c>
      <c r="Q292" t="n">
        <v>198</v>
      </c>
      <c r="R292" t="n">
        <v>706</v>
      </c>
      <c r="S292" t="n">
        <v>0</v>
      </c>
      <c r="T292" t="n">
        <v>706</v>
      </c>
      <c r="U292" t="n">
        <v>0</v>
      </c>
      <c r="V292" t="n">
        <v>3518</v>
      </c>
      <c r="W292" t="n">
        <v>124.4</v>
      </c>
      <c r="X292" t="n">
        <v>4</v>
      </c>
      <c r="Y292" t="n">
        <v>28</v>
      </c>
      <c r="Z292" t="n">
        <v>1033</v>
      </c>
      <c r="AA292" t="n">
        <v>28</v>
      </c>
      <c r="AB292" t="n">
        <v>1033</v>
      </c>
      <c r="AC292" t="n">
        <v>84</v>
      </c>
      <c r="AD292" t="n">
        <v>3086</v>
      </c>
      <c r="AE292" t="n">
        <v>1033</v>
      </c>
      <c r="AF292" t="n">
        <v>3086</v>
      </c>
      <c r="AG292" t="n">
        <v>100</v>
      </c>
      <c r="AH292" t="n">
        <v>13</v>
      </c>
      <c r="AI292" t="n">
        <v>0</v>
      </c>
      <c r="AJ292" t="n">
        <v>432</v>
      </c>
      <c r="AK292" t="inlineStr">
        <is>
          <t>MDS</t>
        </is>
      </c>
      <c r="AL292" t="inlineStr">
        <is>
          <t>None</t>
        </is>
      </c>
      <c r="AM292" t="inlineStr">
        <is>
          <t>None</t>
        </is>
      </c>
      <c r="AN292" t="inlineStr">
        <is>
          <t>Healthy</t>
        </is>
      </c>
      <c r="AO292" t="inlineStr">
        <is>
          <t>B</t>
        </is>
      </c>
      <c r="AP292" t="inlineStr"/>
      <c r="AQ292">
        <f>IF(AM292="P1",100,IF(AM292="P2",67,IF(AM292="P3",33,0)))</f>
        <v/>
      </c>
      <c r="AR292">
        <f>MIN(100,INT(IF(AI292&gt;0,AI292/Z292,AJ292/AD292)*100))</f>
        <v/>
      </c>
      <c r="AS292">
        <f>IF(AI292+AJ292=0,0,INT(100/D292))</f>
        <v/>
      </c>
      <c r="AT292">
        <f>IF(AO292="A",100,IF(AO292="B",67,33))</f>
        <v/>
      </c>
      <c r="AU292">
        <f>ROUND(0.40*AQ292+0.30*AR292+0.20*AS292+0.10*AT292,0)</f>
        <v/>
      </c>
      <c r="AV292" t="inlineStr"/>
    </row>
    <row r="293">
      <c r="A293" t="inlineStr">
        <is>
          <t>BD-24536581-00138</t>
        </is>
      </c>
      <c r="B293" t="inlineStr">
        <is>
          <t>2026-04-17</t>
        </is>
      </c>
      <c r="C293" t="inlineStr">
        <is>
          <t>2026-03-01</t>
        </is>
      </c>
      <c r="D293" t="n">
        <v>4</v>
      </c>
      <c r="E293" t="inlineStr">
        <is>
          <t>SKU_0005</t>
        </is>
      </c>
      <c r="F293" t="inlineStr">
        <is>
          <t>F1</t>
        </is>
      </c>
      <c r="G293" t="inlineStr">
        <is>
          <t>F1</t>
        </is>
      </c>
      <c r="H293" t="inlineStr">
        <is>
          <t>Detroit</t>
        </is>
      </c>
      <c r="I293" t="inlineStr">
        <is>
          <t>Midwest</t>
        </is>
      </c>
      <c r="J293" t="n">
        <v>42.3314</v>
      </c>
      <c r="K293" t="n">
        <v>-83.0458</v>
      </c>
      <c r="L293" t="inlineStr">
        <is>
          <t>Factory</t>
        </is>
      </c>
      <c r="M293" t="inlineStr">
        <is>
          <t>Medical Devices &amp; Diagnostics</t>
        </is>
      </c>
      <c r="N293" t="n">
        <v>3518</v>
      </c>
      <c r="O293" t="n">
        <v>354</v>
      </c>
      <c r="P293" t="n">
        <v>0</v>
      </c>
      <c r="Q293" t="n">
        <v>354</v>
      </c>
      <c r="R293" t="n">
        <v>0</v>
      </c>
      <c r="S293" t="n">
        <v>0</v>
      </c>
      <c r="T293" t="n">
        <v>0</v>
      </c>
      <c r="U293" t="n">
        <v>0</v>
      </c>
      <c r="V293" t="n">
        <v>3164</v>
      </c>
      <c r="W293" t="n">
        <v>62.6</v>
      </c>
      <c r="X293" t="n">
        <v>4</v>
      </c>
      <c r="Y293" t="n">
        <v>28</v>
      </c>
      <c r="Z293" t="n">
        <v>1033</v>
      </c>
      <c r="AA293" t="n">
        <v>28</v>
      </c>
      <c r="AB293" t="n">
        <v>1033</v>
      </c>
      <c r="AC293" t="n">
        <v>84</v>
      </c>
      <c r="AD293" t="n">
        <v>3086</v>
      </c>
      <c r="AE293" t="n">
        <v>1033</v>
      </c>
      <c r="AF293" t="n">
        <v>3086</v>
      </c>
      <c r="AG293" t="n">
        <v>100</v>
      </c>
      <c r="AH293" t="n">
        <v>2</v>
      </c>
      <c r="AI293" t="n">
        <v>0</v>
      </c>
      <c r="AJ293" t="n">
        <v>78</v>
      </c>
      <c r="AK293" t="inlineStr">
        <is>
          <t>MDS</t>
        </is>
      </c>
      <c r="AL293" t="inlineStr">
        <is>
          <t>Low ESTN</t>
        </is>
      </c>
      <c r="AM293" t="inlineStr">
        <is>
          <t>P2</t>
        </is>
      </c>
      <c r="AN293" t="inlineStr">
        <is>
          <t>At-Risk Excess</t>
        </is>
      </c>
      <c r="AO293" t="inlineStr">
        <is>
          <t>B</t>
        </is>
      </c>
      <c r="AP293" t="inlineStr"/>
      <c r="AQ293">
        <f>IF(AM293="P1",100,IF(AM293="P2",67,IF(AM293="P3",33,0)))</f>
        <v/>
      </c>
      <c r="AR293">
        <f>MIN(100,INT(IF(AI293&gt;0,AI293/Z293,AJ293/AD293)*100))</f>
        <v/>
      </c>
      <c r="AS293">
        <f>IF(AI293+AJ293=0,0,INT(100/D293))</f>
        <v/>
      </c>
      <c r="AT293">
        <f>IF(AO293="A",100,IF(AO293="B",67,33))</f>
        <v/>
      </c>
      <c r="AU293">
        <f>ROUND(0.40*AQ293+0.30*AR293+0.20*AS293+0.10*AT293,0)</f>
        <v/>
      </c>
      <c r="AV293" t="inlineStr">
        <is>
          <t>Opening inventory of 3518 and supply of 0 exceed the demand of 354, resulting in a projected surplus of 3164. This inventory levels violates the maximum stock threshold of 3086 units by 78 units, increasing holding risk.</t>
        </is>
      </c>
    </row>
    <row r="294">
      <c r="A294" t="inlineStr">
        <is>
          <t>BD-24536581-00139</t>
        </is>
      </c>
      <c r="B294" t="inlineStr">
        <is>
          <t>2026-04-17</t>
        </is>
      </c>
      <c r="C294" t="inlineStr">
        <is>
          <t>2026-03-08</t>
        </is>
      </c>
      <c r="D294" t="n">
        <v>5</v>
      </c>
      <c r="E294" t="inlineStr">
        <is>
          <t>SKU_0005</t>
        </is>
      </c>
      <c r="F294" t="inlineStr">
        <is>
          <t>F1</t>
        </is>
      </c>
      <c r="G294" t="inlineStr">
        <is>
          <t>F1</t>
        </is>
      </c>
      <c r="H294" t="inlineStr">
        <is>
          <t>Detroit</t>
        </is>
      </c>
      <c r="I294" t="inlineStr">
        <is>
          <t>Midwest</t>
        </is>
      </c>
      <c r="J294" t="n">
        <v>42.3314</v>
      </c>
      <c r="K294" t="n">
        <v>-83.0458</v>
      </c>
      <c r="L294" t="inlineStr">
        <is>
          <t>Factory</t>
        </is>
      </c>
      <c r="M294" t="inlineStr">
        <is>
          <t>Medical Devices &amp; Diagnostics</t>
        </is>
      </c>
      <c r="N294" t="n">
        <v>3164</v>
      </c>
      <c r="O294" t="n">
        <v>1344</v>
      </c>
      <c r="P294" t="n">
        <v>0</v>
      </c>
      <c r="Q294" t="n">
        <v>1344</v>
      </c>
      <c r="R294" t="n">
        <v>0</v>
      </c>
      <c r="S294" t="n">
        <v>2110</v>
      </c>
      <c r="T294" t="n">
        <v>2110</v>
      </c>
      <c r="U294" t="n">
        <v>0</v>
      </c>
      <c r="V294" t="n">
        <v>3930</v>
      </c>
      <c r="W294" t="n">
        <v>20.5</v>
      </c>
      <c r="X294" t="n">
        <v>4</v>
      </c>
      <c r="Y294" t="n">
        <v>28</v>
      </c>
      <c r="Z294" t="n">
        <v>1033</v>
      </c>
      <c r="AA294" t="n">
        <v>28</v>
      </c>
      <c r="AB294" t="n">
        <v>1033</v>
      </c>
      <c r="AC294" t="n">
        <v>84</v>
      </c>
      <c r="AD294" t="n">
        <v>3086</v>
      </c>
      <c r="AE294" t="n">
        <v>1033</v>
      </c>
      <c r="AF294" t="n">
        <v>3086</v>
      </c>
      <c r="AG294" t="n">
        <v>100</v>
      </c>
      <c r="AH294" t="n">
        <v>27</v>
      </c>
      <c r="AI294" t="n">
        <v>0</v>
      </c>
      <c r="AJ294" t="n">
        <v>844</v>
      </c>
      <c r="AK294" t="inlineStr">
        <is>
          <t>MDS</t>
        </is>
      </c>
      <c r="AL294" t="inlineStr">
        <is>
          <t>High ESTN</t>
        </is>
      </c>
      <c r="AM294" t="inlineStr">
        <is>
          <t>P1</t>
        </is>
      </c>
      <c r="AN294" t="inlineStr">
        <is>
          <t>Critical Excess</t>
        </is>
      </c>
      <c r="AO294" t="inlineStr">
        <is>
          <t>B</t>
        </is>
      </c>
      <c r="AP294" t="inlineStr"/>
      <c r="AQ294">
        <f>IF(AM294="P1",100,IF(AM294="P2",67,IF(AM294="P3",33,0)))</f>
        <v/>
      </c>
      <c r="AR294">
        <f>MIN(100,INT(IF(AI294&gt;0,AI294/Z294,AJ294/AD294)*100))</f>
        <v/>
      </c>
      <c r="AS294">
        <f>IF(AI294+AJ294=0,0,INT(100/D294))</f>
        <v/>
      </c>
      <c r="AT294">
        <f>IF(AO294="A",100,IF(AO294="B",67,33))</f>
        <v/>
      </c>
      <c r="AU294">
        <f>ROUND(0.40*AQ294+0.30*AR294+0.20*AS294+0.10*AT294,0)</f>
        <v/>
      </c>
      <c r="AV294" t="inlineStr">
        <is>
          <t>Opening inventory of 3164 and supply of 2110 exceed the demand of 1344, resulting in a projected surplus of 3930. This inventory levels violates the maximum stock threshold of 3086 units by 844 units, increasing holding risk.</t>
        </is>
      </c>
    </row>
    <row r="295">
      <c r="A295" t="inlineStr">
        <is>
          <t>BD-24536581-00140</t>
        </is>
      </c>
      <c r="B295" t="inlineStr">
        <is>
          <t>2026-04-17</t>
        </is>
      </c>
      <c r="C295" t="inlineStr">
        <is>
          <t>2026-03-15</t>
        </is>
      </c>
      <c r="D295" t="n">
        <v>6</v>
      </c>
      <c r="E295" t="inlineStr">
        <is>
          <t>SKU_0005</t>
        </is>
      </c>
      <c r="F295" t="inlineStr">
        <is>
          <t>F1</t>
        </is>
      </c>
      <c r="G295" t="inlineStr">
        <is>
          <t>F1</t>
        </is>
      </c>
      <c r="H295" t="inlineStr">
        <is>
          <t>Detroit</t>
        </is>
      </c>
      <c r="I295" t="inlineStr">
        <is>
          <t>Midwest</t>
        </is>
      </c>
      <c r="J295" t="n">
        <v>42.3314</v>
      </c>
      <c r="K295" t="n">
        <v>-83.0458</v>
      </c>
      <c r="L295" t="inlineStr">
        <is>
          <t>Factory</t>
        </is>
      </c>
      <c r="M295" t="inlineStr">
        <is>
          <t>Medical Devices &amp; Diagnostics</t>
        </is>
      </c>
      <c r="N295" t="n">
        <v>3930</v>
      </c>
      <c r="O295" t="n">
        <v>80</v>
      </c>
      <c r="P295" t="n">
        <v>0</v>
      </c>
      <c r="Q295" t="n">
        <v>80</v>
      </c>
      <c r="R295" t="n">
        <v>0</v>
      </c>
      <c r="S295" t="n">
        <v>621</v>
      </c>
      <c r="T295" t="n">
        <v>621</v>
      </c>
      <c r="U295" t="n">
        <v>0</v>
      </c>
      <c r="V295" t="n">
        <v>4471</v>
      </c>
      <c r="W295" t="n">
        <v>391.2</v>
      </c>
      <c r="X295" t="n">
        <v>4</v>
      </c>
      <c r="Y295" t="n">
        <v>28</v>
      </c>
      <c r="Z295" t="n">
        <v>1033</v>
      </c>
      <c r="AA295" t="n">
        <v>28</v>
      </c>
      <c r="AB295" t="n">
        <v>1033</v>
      </c>
      <c r="AC295" t="n">
        <v>84</v>
      </c>
      <c r="AD295" t="n">
        <v>3086</v>
      </c>
      <c r="AE295" t="n">
        <v>1033</v>
      </c>
      <c r="AF295" t="n">
        <v>3086</v>
      </c>
      <c r="AG295" t="n">
        <v>100</v>
      </c>
      <c r="AH295" t="n">
        <v>44</v>
      </c>
      <c r="AI295" t="n">
        <v>0</v>
      </c>
      <c r="AJ295" t="n">
        <v>1385</v>
      </c>
      <c r="AK295" t="inlineStr">
        <is>
          <t>MDS</t>
        </is>
      </c>
      <c r="AL295" t="inlineStr">
        <is>
          <t>High ESTN</t>
        </is>
      </c>
      <c r="AM295" t="inlineStr">
        <is>
          <t>P1</t>
        </is>
      </c>
      <c r="AN295" t="inlineStr">
        <is>
          <t>Critical Excess</t>
        </is>
      </c>
      <c r="AO295" t="inlineStr">
        <is>
          <t>B</t>
        </is>
      </c>
      <c r="AP295" t="inlineStr"/>
      <c r="AQ295">
        <f>IF(AM295="P1",100,IF(AM295="P2",67,IF(AM295="P3",33,0)))</f>
        <v/>
      </c>
      <c r="AR295">
        <f>MIN(100,INT(IF(AI295&gt;0,AI295/Z295,AJ295/AD295)*100))</f>
        <v/>
      </c>
      <c r="AS295">
        <f>IF(AI295+AJ295=0,0,INT(100/D295))</f>
        <v/>
      </c>
      <c r="AT295">
        <f>IF(AO295="A",100,IF(AO295="B",67,33))</f>
        <v/>
      </c>
      <c r="AU295">
        <f>ROUND(0.40*AQ295+0.30*AR295+0.20*AS295+0.10*AT295,0)</f>
        <v/>
      </c>
      <c r="AV295" t="inlineStr">
        <is>
          <t>Opening inventory of 3930 and supply of 621 exceed the demand of 80, resulting in a projected surplus of 4471. This inventory levels violates the maximum stock threshold of 3086 units by 1385 units, increasing holding risk.</t>
        </is>
      </c>
    </row>
    <row r="296">
      <c r="A296" t="inlineStr">
        <is>
          <t>BD-24536581-00141</t>
        </is>
      </c>
      <c r="B296" t="inlineStr">
        <is>
          <t>2026-04-17</t>
        </is>
      </c>
      <c r="C296" t="inlineStr">
        <is>
          <t>2026-03-22</t>
        </is>
      </c>
      <c r="D296" t="n">
        <v>7</v>
      </c>
      <c r="E296" t="inlineStr">
        <is>
          <t>SKU_0005</t>
        </is>
      </c>
      <c r="F296" t="inlineStr">
        <is>
          <t>F1</t>
        </is>
      </c>
      <c r="G296" t="inlineStr">
        <is>
          <t>F1</t>
        </is>
      </c>
      <c r="H296" t="inlineStr">
        <is>
          <t>Detroit</t>
        </is>
      </c>
      <c r="I296" t="inlineStr">
        <is>
          <t>Midwest</t>
        </is>
      </c>
      <c r="J296" t="n">
        <v>42.3314</v>
      </c>
      <c r="K296" t="n">
        <v>-83.0458</v>
      </c>
      <c r="L296" t="inlineStr">
        <is>
          <t>Factory</t>
        </is>
      </c>
      <c r="M296" t="inlineStr">
        <is>
          <t>Medical Devices &amp; Diagnostics</t>
        </is>
      </c>
      <c r="N296" t="n">
        <v>4471</v>
      </c>
      <c r="O296" t="n">
        <v>678</v>
      </c>
      <c r="P296" t="n">
        <v>0</v>
      </c>
      <c r="Q296" t="n">
        <v>678</v>
      </c>
      <c r="R296" t="n">
        <v>0</v>
      </c>
      <c r="S296" t="n">
        <v>595</v>
      </c>
      <c r="T296" t="n">
        <v>595</v>
      </c>
      <c r="U296" t="n">
        <v>0</v>
      </c>
      <c r="V296" t="n">
        <v>4388</v>
      </c>
      <c r="W296" t="n">
        <v>45.3</v>
      </c>
      <c r="X296" t="n">
        <v>4</v>
      </c>
      <c r="Y296" t="n">
        <v>28</v>
      </c>
      <c r="Z296" t="n">
        <v>1033</v>
      </c>
      <c r="AA296" t="n">
        <v>28</v>
      </c>
      <c r="AB296" t="n">
        <v>1033</v>
      </c>
      <c r="AC296" t="n">
        <v>84</v>
      </c>
      <c r="AD296" t="n">
        <v>3086</v>
      </c>
      <c r="AE296" t="n">
        <v>1033</v>
      </c>
      <c r="AF296" t="n">
        <v>3086</v>
      </c>
      <c r="AG296" t="n">
        <v>100</v>
      </c>
      <c r="AH296" t="n">
        <v>42</v>
      </c>
      <c r="AI296" t="n">
        <v>0</v>
      </c>
      <c r="AJ296" t="n">
        <v>1302</v>
      </c>
      <c r="AK296" t="inlineStr">
        <is>
          <t>MDS</t>
        </is>
      </c>
      <c r="AL296" t="inlineStr">
        <is>
          <t>High ESTN</t>
        </is>
      </c>
      <c r="AM296" t="inlineStr">
        <is>
          <t>P1</t>
        </is>
      </c>
      <c r="AN296" t="inlineStr">
        <is>
          <t>Critical Excess</t>
        </is>
      </c>
      <c r="AO296" t="inlineStr">
        <is>
          <t>B</t>
        </is>
      </c>
      <c r="AP296" t="inlineStr"/>
      <c r="AQ296">
        <f>IF(AM296="P1",100,IF(AM296="P2",67,IF(AM296="P3",33,0)))</f>
        <v/>
      </c>
      <c r="AR296">
        <f>MIN(100,INT(IF(AI296&gt;0,AI296/Z296,AJ296/AD296)*100))</f>
        <v/>
      </c>
      <c r="AS296">
        <f>IF(AI296+AJ296=0,0,INT(100/D296))</f>
        <v/>
      </c>
      <c r="AT296">
        <f>IF(AO296="A",100,IF(AO296="B",67,33))</f>
        <v/>
      </c>
      <c r="AU296">
        <f>ROUND(0.40*AQ296+0.30*AR296+0.20*AS296+0.10*AT296,0)</f>
        <v/>
      </c>
      <c r="AV296" t="inlineStr">
        <is>
          <t>Opening inventory of 4471 and supply of 595 exceed the demand of 678, resulting in a projected surplus of 4388. This inventory levels violates the maximum stock threshold of 3086 units by 1302 units, increasing holding risk.</t>
        </is>
      </c>
    </row>
    <row r="297">
      <c r="A297" t="inlineStr">
        <is>
          <t>BD-24536581-00142</t>
        </is>
      </c>
      <c r="B297" t="inlineStr">
        <is>
          <t>2026-04-17</t>
        </is>
      </c>
      <c r="C297" t="inlineStr">
        <is>
          <t>2026-03-29</t>
        </is>
      </c>
      <c r="D297" t="n">
        <v>8</v>
      </c>
      <c r="E297" t="inlineStr">
        <is>
          <t>SKU_0005</t>
        </is>
      </c>
      <c r="F297" t="inlineStr">
        <is>
          <t>F1</t>
        </is>
      </c>
      <c r="G297" t="inlineStr">
        <is>
          <t>F1</t>
        </is>
      </c>
      <c r="H297" t="inlineStr">
        <is>
          <t>Detroit</t>
        </is>
      </c>
      <c r="I297" t="inlineStr">
        <is>
          <t>Midwest</t>
        </is>
      </c>
      <c r="J297" t="n">
        <v>42.3314</v>
      </c>
      <c r="K297" t="n">
        <v>-83.0458</v>
      </c>
      <c r="L297" t="inlineStr">
        <is>
          <t>Factory</t>
        </is>
      </c>
      <c r="M297" t="inlineStr">
        <is>
          <t>Medical Devices &amp; Diagnostics</t>
        </is>
      </c>
      <c r="N297" t="n">
        <v>4388</v>
      </c>
      <c r="O297" t="n">
        <v>135</v>
      </c>
      <c r="P297" t="n">
        <v>0</v>
      </c>
      <c r="Q297" t="n">
        <v>135</v>
      </c>
      <c r="R297" t="n">
        <v>0</v>
      </c>
      <c r="S297" t="n">
        <v>2097</v>
      </c>
      <c r="T297" t="n">
        <v>2097</v>
      </c>
      <c r="U297" t="n">
        <v>0</v>
      </c>
      <c r="V297" t="n">
        <v>6350</v>
      </c>
      <c r="W297" t="n">
        <v>329.3</v>
      </c>
      <c r="X297" t="n">
        <v>4</v>
      </c>
      <c r="Y297" t="n">
        <v>28</v>
      </c>
      <c r="Z297" t="n">
        <v>1033</v>
      </c>
      <c r="AA297" t="n">
        <v>28</v>
      </c>
      <c r="AB297" t="n">
        <v>1033</v>
      </c>
      <c r="AC297" t="n">
        <v>84</v>
      </c>
      <c r="AD297" t="n">
        <v>3086</v>
      </c>
      <c r="AE297" t="n">
        <v>1033</v>
      </c>
      <c r="AF297" t="n">
        <v>3086</v>
      </c>
      <c r="AG297" t="n">
        <v>100</v>
      </c>
      <c r="AH297" t="n">
        <v>105</v>
      </c>
      <c r="AI297" t="n">
        <v>0</v>
      </c>
      <c r="AJ297" t="n">
        <v>3264</v>
      </c>
      <c r="AK297" t="inlineStr">
        <is>
          <t>MDS</t>
        </is>
      </c>
      <c r="AL297" t="inlineStr">
        <is>
          <t>High ESTN</t>
        </is>
      </c>
      <c r="AM297" t="inlineStr">
        <is>
          <t>P1</t>
        </is>
      </c>
      <c r="AN297" t="inlineStr">
        <is>
          <t>Critical Excess</t>
        </is>
      </c>
      <c r="AO297" t="inlineStr">
        <is>
          <t>B</t>
        </is>
      </c>
      <c r="AP297" t="inlineStr"/>
      <c r="AQ297">
        <f>IF(AM297="P1",100,IF(AM297="P2",67,IF(AM297="P3",33,0)))</f>
        <v/>
      </c>
      <c r="AR297">
        <f>MIN(100,INT(IF(AI297&gt;0,AI297/Z297,AJ297/AD297)*100))</f>
        <v/>
      </c>
      <c r="AS297">
        <f>IF(AI297+AJ297=0,0,INT(100/D297))</f>
        <v/>
      </c>
      <c r="AT297">
        <f>IF(AO297="A",100,IF(AO297="B",67,33))</f>
        <v/>
      </c>
      <c r="AU297">
        <f>ROUND(0.40*AQ297+0.30*AR297+0.20*AS297+0.10*AT297,0)</f>
        <v/>
      </c>
      <c r="AV297" t="inlineStr">
        <is>
          <t>Opening inventory of 4388 and supply of 2097 exceed the demand of 135, resulting in a projected surplus of 6350. This inventory levels violates the maximum stock threshold of 3086 units by 3264 units, increasing holding risk.</t>
        </is>
      </c>
    </row>
    <row r="298">
      <c r="A298" t="inlineStr">
        <is>
          <t>BD-24536581-00143</t>
        </is>
      </c>
      <c r="B298" t="inlineStr">
        <is>
          <t>2026-04-17</t>
        </is>
      </c>
      <c r="C298" t="inlineStr">
        <is>
          <t>2026-04-05</t>
        </is>
      </c>
      <c r="D298" t="n">
        <v>9</v>
      </c>
      <c r="E298" t="inlineStr">
        <is>
          <t>SKU_0005</t>
        </is>
      </c>
      <c r="F298" t="inlineStr">
        <is>
          <t>F1</t>
        </is>
      </c>
      <c r="G298" t="inlineStr">
        <is>
          <t>F1</t>
        </is>
      </c>
      <c r="H298" t="inlineStr">
        <is>
          <t>Detroit</t>
        </is>
      </c>
      <c r="I298" t="inlineStr">
        <is>
          <t>Midwest</t>
        </is>
      </c>
      <c r="J298" t="n">
        <v>42.3314</v>
      </c>
      <c r="K298" t="n">
        <v>-83.0458</v>
      </c>
      <c r="L298" t="inlineStr">
        <is>
          <t>Factory</t>
        </is>
      </c>
      <c r="M298" t="inlineStr">
        <is>
          <t>Medical Devices &amp; Diagnostics</t>
        </is>
      </c>
      <c r="N298" t="n">
        <v>6350</v>
      </c>
      <c r="O298" t="n">
        <v>27</v>
      </c>
      <c r="P298" t="n">
        <v>0</v>
      </c>
      <c r="Q298" t="n">
        <v>27</v>
      </c>
      <c r="R298" t="n">
        <v>0</v>
      </c>
      <c r="S298" t="n">
        <v>928</v>
      </c>
      <c r="T298" t="n">
        <v>928</v>
      </c>
      <c r="U298" t="n">
        <v>0</v>
      </c>
      <c r="V298" t="n">
        <v>7251</v>
      </c>
      <c r="W298" t="n">
        <v>1879.9</v>
      </c>
      <c r="X298" t="n">
        <v>4</v>
      </c>
      <c r="Y298" t="n">
        <v>28</v>
      </c>
      <c r="Z298" t="n">
        <v>1033</v>
      </c>
      <c r="AA298" t="n">
        <v>28</v>
      </c>
      <c r="AB298" t="n">
        <v>1033</v>
      </c>
      <c r="AC298" t="n">
        <v>84</v>
      </c>
      <c r="AD298" t="n">
        <v>3086</v>
      </c>
      <c r="AE298" t="n">
        <v>1033</v>
      </c>
      <c r="AF298" t="n">
        <v>3086</v>
      </c>
      <c r="AG298" t="n">
        <v>100</v>
      </c>
      <c r="AH298" t="n">
        <v>134</v>
      </c>
      <c r="AI298" t="n">
        <v>0</v>
      </c>
      <c r="AJ298" t="n">
        <v>4165</v>
      </c>
      <c r="AK298" t="inlineStr">
        <is>
          <t>MDS</t>
        </is>
      </c>
      <c r="AL298" t="inlineStr">
        <is>
          <t>High ESTN</t>
        </is>
      </c>
      <c r="AM298" t="inlineStr">
        <is>
          <t>P1</t>
        </is>
      </c>
      <c r="AN298" t="inlineStr">
        <is>
          <t>Critical Excess</t>
        </is>
      </c>
      <c r="AO298" t="inlineStr">
        <is>
          <t>B</t>
        </is>
      </c>
      <c r="AP298" t="inlineStr"/>
      <c r="AQ298">
        <f>IF(AM298="P1",100,IF(AM298="P2",67,IF(AM298="P3",33,0)))</f>
        <v/>
      </c>
      <c r="AR298">
        <f>MIN(100,INT(IF(AI298&gt;0,AI298/Z298,AJ298/AD298)*100))</f>
        <v/>
      </c>
      <c r="AS298">
        <f>IF(AI298+AJ298=0,0,INT(100/D298))</f>
        <v/>
      </c>
      <c r="AT298">
        <f>IF(AO298="A",100,IF(AO298="B",67,33))</f>
        <v/>
      </c>
      <c r="AU298">
        <f>ROUND(0.40*AQ298+0.30*AR298+0.20*AS298+0.10*AT298,0)</f>
        <v/>
      </c>
      <c r="AV298" t="inlineStr">
        <is>
          <t>Opening inventory of 6350 and supply of 928 exceed the demand of 27, resulting in a projected surplus of 7251. This inventory levels violates the maximum stock threshold of 3086 units by 4165 units, increasing holding risk.</t>
        </is>
      </c>
    </row>
    <row r="299">
      <c r="A299" t="inlineStr">
        <is>
          <t>BD-24536581-00144</t>
        </is>
      </c>
      <c r="B299" t="inlineStr">
        <is>
          <t>2026-04-17</t>
        </is>
      </c>
      <c r="C299" t="inlineStr">
        <is>
          <t>2026-04-12</t>
        </is>
      </c>
      <c r="D299" t="n">
        <v>10</v>
      </c>
      <c r="E299" t="inlineStr">
        <is>
          <t>SKU_0005</t>
        </is>
      </c>
      <c r="F299" t="inlineStr">
        <is>
          <t>F1</t>
        </is>
      </c>
      <c r="G299" t="inlineStr">
        <is>
          <t>F1</t>
        </is>
      </c>
      <c r="H299" t="inlineStr">
        <is>
          <t>Detroit</t>
        </is>
      </c>
      <c r="I299" t="inlineStr">
        <is>
          <t>Midwest</t>
        </is>
      </c>
      <c r="J299" t="n">
        <v>42.3314</v>
      </c>
      <c r="K299" t="n">
        <v>-83.0458</v>
      </c>
      <c r="L299" t="inlineStr">
        <is>
          <t>Factory</t>
        </is>
      </c>
      <c r="M299" t="inlineStr">
        <is>
          <t>Medical Devices &amp; Diagnostics</t>
        </is>
      </c>
      <c r="N299" t="n">
        <v>7251</v>
      </c>
      <c r="O299" t="n">
        <v>165</v>
      </c>
      <c r="P299" t="n">
        <v>0</v>
      </c>
      <c r="Q299" t="n">
        <v>165</v>
      </c>
      <c r="R299" t="n">
        <v>0</v>
      </c>
      <c r="S299" t="n">
        <v>987</v>
      </c>
      <c r="T299" t="n">
        <v>987</v>
      </c>
      <c r="U299" t="n">
        <v>0</v>
      </c>
      <c r="V299" t="n">
        <v>8073</v>
      </c>
      <c r="W299" t="n">
        <v>342.5</v>
      </c>
      <c r="X299" t="n">
        <v>4</v>
      </c>
      <c r="Y299" t="n">
        <v>28</v>
      </c>
      <c r="Z299" t="n">
        <v>1033</v>
      </c>
      <c r="AA299" t="n">
        <v>28</v>
      </c>
      <c r="AB299" t="n">
        <v>1033</v>
      </c>
      <c r="AC299" t="n">
        <v>84</v>
      </c>
      <c r="AD299" t="n">
        <v>3086</v>
      </c>
      <c r="AE299" t="n">
        <v>1033</v>
      </c>
      <c r="AF299" t="n">
        <v>3086</v>
      </c>
      <c r="AG299" t="n">
        <v>100</v>
      </c>
      <c r="AH299" t="n">
        <v>161</v>
      </c>
      <c r="AI299" t="n">
        <v>0</v>
      </c>
      <c r="AJ299" t="n">
        <v>4987</v>
      </c>
      <c r="AK299" t="inlineStr">
        <is>
          <t>MDS</t>
        </is>
      </c>
      <c r="AL299" t="inlineStr">
        <is>
          <t>High ESTN</t>
        </is>
      </c>
      <c r="AM299" t="inlineStr">
        <is>
          <t>P1</t>
        </is>
      </c>
      <c r="AN299" t="inlineStr">
        <is>
          <t>Critical Excess</t>
        </is>
      </c>
      <c r="AO299" t="inlineStr">
        <is>
          <t>B</t>
        </is>
      </c>
      <c r="AP299" t="inlineStr"/>
      <c r="AQ299">
        <f>IF(AM299="P1",100,IF(AM299="P2",67,IF(AM299="P3",33,0)))</f>
        <v/>
      </c>
      <c r="AR299">
        <f>MIN(100,INT(IF(AI299&gt;0,AI299/Z299,AJ299/AD299)*100))</f>
        <v/>
      </c>
      <c r="AS299">
        <f>IF(AI299+AJ299=0,0,INT(100/D299))</f>
        <v/>
      </c>
      <c r="AT299">
        <f>IF(AO299="A",100,IF(AO299="B",67,33))</f>
        <v/>
      </c>
      <c r="AU299">
        <f>ROUND(0.40*AQ299+0.30*AR299+0.20*AS299+0.10*AT299,0)</f>
        <v/>
      </c>
      <c r="AV299" t="inlineStr">
        <is>
          <t>Opening inventory of 7251 and supply of 987 exceed the demand of 165, resulting in a projected surplus of 8073. This inventory levels violates the maximum stock threshold of 3086 units by 4987 units, increasing holding risk.</t>
        </is>
      </c>
    </row>
    <row r="300">
      <c r="A300" t="inlineStr">
        <is>
          <t>BD-24536581-00145</t>
        </is>
      </c>
      <c r="B300" t="inlineStr">
        <is>
          <t>2026-04-17</t>
        </is>
      </c>
      <c r="C300" t="inlineStr">
        <is>
          <t>2026-04-19</t>
        </is>
      </c>
      <c r="D300" t="n">
        <v>11</v>
      </c>
      <c r="E300" t="inlineStr">
        <is>
          <t>SKU_0005</t>
        </is>
      </c>
      <c r="F300" t="inlineStr">
        <is>
          <t>F1</t>
        </is>
      </c>
      <c r="G300" t="inlineStr">
        <is>
          <t>F1</t>
        </is>
      </c>
      <c r="H300" t="inlineStr">
        <is>
          <t>Detroit</t>
        </is>
      </c>
      <c r="I300" t="inlineStr">
        <is>
          <t>Midwest</t>
        </is>
      </c>
      <c r="J300" t="n">
        <v>42.3314</v>
      </c>
      <c r="K300" t="n">
        <v>-83.0458</v>
      </c>
      <c r="L300" t="inlineStr">
        <is>
          <t>Factory</t>
        </is>
      </c>
      <c r="M300" t="inlineStr">
        <is>
          <t>Medical Devices &amp; Diagnostics</t>
        </is>
      </c>
      <c r="N300" t="n">
        <v>8073</v>
      </c>
      <c r="O300" t="n">
        <v>244</v>
      </c>
      <c r="P300" t="n">
        <v>0</v>
      </c>
      <c r="Q300" t="n">
        <v>244</v>
      </c>
      <c r="R300" t="n">
        <v>496</v>
      </c>
      <c r="S300" t="n">
        <v>0</v>
      </c>
      <c r="T300" t="n">
        <v>496</v>
      </c>
      <c r="U300" t="n">
        <v>0</v>
      </c>
      <c r="V300" t="n">
        <v>8325</v>
      </c>
      <c r="W300" t="n">
        <v>238.8</v>
      </c>
      <c r="X300" t="n">
        <v>4</v>
      </c>
      <c r="Y300" t="n">
        <v>28</v>
      </c>
      <c r="Z300" t="n">
        <v>1033</v>
      </c>
      <c r="AA300" t="n">
        <v>28</v>
      </c>
      <c r="AB300" t="n">
        <v>1033</v>
      </c>
      <c r="AC300" t="n">
        <v>84</v>
      </c>
      <c r="AD300" t="n">
        <v>3086</v>
      </c>
      <c r="AE300" t="n">
        <v>1033</v>
      </c>
      <c r="AF300" t="n">
        <v>3086</v>
      </c>
      <c r="AG300" t="n">
        <v>100</v>
      </c>
      <c r="AH300" t="n">
        <v>169</v>
      </c>
      <c r="AI300" t="n">
        <v>0</v>
      </c>
      <c r="AJ300" t="n">
        <v>5239</v>
      </c>
      <c r="AK300" t="inlineStr">
        <is>
          <t>MDS</t>
        </is>
      </c>
      <c r="AL300" t="inlineStr">
        <is>
          <t>High ESTN</t>
        </is>
      </c>
      <c r="AM300" t="inlineStr">
        <is>
          <t>P1</t>
        </is>
      </c>
      <c r="AN300" t="inlineStr">
        <is>
          <t>Critical Excess</t>
        </is>
      </c>
      <c r="AO300" t="inlineStr">
        <is>
          <t>B</t>
        </is>
      </c>
      <c r="AP300" t="inlineStr"/>
      <c r="AQ300">
        <f>IF(AM300="P1",100,IF(AM300="P2",67,IF(AM300="P3",33,0)))</f>
        <v/>
      </c>
      <c r="AR300">
        <f>MIN(100,INT(IF(AI300&gt;0,AI300/Z300,AJ300/AD300)*100))</f>
        <v/>
      </c>
      <c r="AS300">
        <f>IF(AI300+AJ300=0,0,INT(100/D300))</f>
        <v/>
      </c>
      <c r="AT300">
        <f>IF(AO300="A",100,IF(AO300="B",67,33))</f>
        <v/>
      </c>
      <c r="AU300">
        <f>ROUND(0.40*AQ300+0.30*AR300+0.20*AS300+0.10*AT300,0)</f>
        <v/>
      </c>
      <c r="AV300" t="inlineStr">
        <is>
          <t>Opening inventory of 8073 and supply of 0 exceed the demand of 244, resulting in a projected surplus of 8325. This inventory levels violates the maximum stock threshold of 3086 units by 5239 units, increasing holding risk.</t>
        </is>
      </c>
    </row>
    <row r="301">
      <c r="A301" t="inlineStr">
        <is>
          <t>BD-24536581-00146</t>
        </is>
      </c>
      <c r="B301" t="inlineStr">
        <is>
          <t>2026-04-17</t>
        </is>
      </c>
      <c r="C301" t="inlineStr">
        <is>
          <t>2026-04-26</t>
        </is>
      </c>
      <c r="D301" t="n">
        <v>12</v>
      </c>
      <c r="E301" t="inlineStr">
        <is>
          <t>SKU_0005</t>
        </is>
      </c>
      <c r="F301" t="inlineStr">
        <is>
          <t>F1</t>
        </is>
      </c>
      <c r="G301" t="inlineStr">
        <is>
          <t>F1</t>
        </is>
      </c>
      <c r="H301" t="inlineStr">
        <is>
          <t>Detroit</t>
        </is>
      </c>
      <c r="I301" t="inlineStr">
        <is>
          <t>Midwest</t>
        </is>
      </c>
      <c r="J301" t="n">
        <v>42.3314</v>
      </c>
      <c r="K301" t="n">
        <v>-83.0458</v>
      </c>
      <c r="L301" t="inlineStr">
        <is>
          <t>Factory</t>
        </is>
      </c>
      <c r="M301" t="inlineStr">
        <is>
          <t>Medical Devices &amp; Diagnostics</t>
        </is>
      </c>
      <c r="N301" t="n">
        <v>8325</v>
      </c>
      <c r="O301" t="n">
        <v>0</v>
      </c>
      <c r="P301" t="n">
        <v>0</v>
      </c>
      <c r="Q301" t="n">
        <v>0</v>
      </c>
      <c r="R301" t="n">
        <v>0</v>
      </c>
      <c r="S301" t="n">
        <v>825</v>
      </c>
      <c r="T301" t="n">
        <v>825</v>
      </c>
      <c r="U301" t="n">
        <v>0</v>
      </c>
      <c r="V301" t="n">
        <v>9150</v>
      </c>
      <c r="W301" t="n">
        <v>0</v>
      </c>
      <c r="X301" t="n">
        <v>4</v>
      </c>
      <c r="Y301" t="n">
        <v>28</v>
      </c>
      <c r="Z301" t="n">
        <v>1033</v>
      </c>
      <c r="AA301" t="n">
        <v>28</v>
      </c>
      <c r="AB301" t="n">
        <v>1033</v>
      </c>
      <c r="AC301" t="n">
        <v>84</v>
      </c>
      <c r="AD301" t="n">
        <v>3086</v>
      </c>
      <c r="AE301" t="n">
        <v>1033</v>
      </c>
      <c r="AF301" t="n">
        <v>3086</v>
      </c>
      <c r="AG301" t="n">
        <v>100</v>
      </c>
      <c r="AH301" t="n">
        <v>196</v>
      </c>
      <c r="AI301" t="n">
        <v>0</v>
      </c>
      <c r="AJ301" t="n">
        <v>6064</v>
      </c>
      <c r="AK301" t="inlineStr">
        <is>
          <t>MDS</t>
        </is>
      </c>
      <c r="AL301" t="inlineStr">
        <is>
          <t>High ESTN</t>
        </is>
      </c>
      <c r="AM301" t="inlineStr">
        <is>
          <t>P1</t>
        </is>
      </c>
      <c r="AN301" t="inlineStr">
        <is>
          <t>Critical Excess</t>
        </is>
      </c>
      <c r="AO301" t="inlineStr">
        <is>
          <t>B</t>
        </is>
      </c>
      <c r="AP301" t="inlineStr"/>
      <c r="AQ301">
        <f>IF(AM301="P1",100,IF(AM301="P2",67,IF(AM301="P3",33,0)))</f>
        <v/>
      </c>
      <c r="AR301">
        <f>MIN(100,INT(IF(AI301&gt;0,AI301/Z301,AJ301/AD301)*100))</f>
        <v/>
      </c>
      <c r="AS301">
        <f>IF(AI301+AJ301=0,0,INT(100/D301))</f>
        <v/>
      </c>
      <c r="AT301">
        <f>IF(AO301="A",100,IF(AO301="B",67,33))</f>
        <v/>
      </c>
      <c r="AU301">
        <f>ROUND(0.40*AQ301+0.30*AR301+0.20*AS301+0.10*AT301,0)</f>
        <v/>
      </c>
      <c r="AV301" t="inlineStr">
        <is>
          <t>Opening inventory of 8325 and supply of 825 exceed the demand of 0, resulting in a projected surplus of 9150. This inventory levels violates the maximum stock threshold of 3086 units by 6064 units, increasing holding risk.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12" customWidth="1" min="1" max="1"/>
    <col width="16" customWidth="1" min="2" max="2"/>
    <col width="8" customWidth="1" min="3" max="3"/>
    <col width="21" customWidth="1" min="4" max="4"/>
    <col width="17" customWidth="1" min="5" max="5"/>
    <col width="12" customWidth="1" min="6" max="6"/>
    <col width="11" customWidth="1" min="7" max="7"/>
    <col width="60" customWidth="1" min="8" max="8"/>
  </cols>
  <sheetData>
    <row r="1">
      <c r="A1" s="1" t="inlineStr">
        <is>
          <t>Priority</t>
        </is>
      </c>
      <c r="B1" s="1" t="inlineStr">
        <is>
          <t>SKU_Category</t>
        </is>
      </c>
      <c r="C1" s="1" t="inlineStr">
        <is>
          <t>Week</t>
        </is>
      </c>
      <c r="D1" s="1" t="inlineStr">
        <is>
          <t>Shortage/Excess %</t>
        </is>
      </c>
      <c r="E1" s="1" t="inlineStr">
        <is>
          <t>Alert Type</t>
        </is>
      </c>
      <c r="F1" s="1" t="inlineStr">
        <is>
          <t>SKU</t>
        </is>
      </c>
      <c r="G1" s="1" t="inlineStr">
        <is>
          <t>Site ID</t>
        </is>
      </c>
      <c r="H1" s="1" t="inlineStr">
        <is>
          <t>Root Cause Analysis/AI Insights</t>
        </is>
      </c>
    </row>
    <row r="2">
      <c r="A2" t="inlineStr">
        <is>
          <t>P1</t>
        </is>
      </c>
      <c r="B2" t="inlineStr">
        <is>
          <t>A</t>
        </is>
      </c>
      <c r="C2" t="n">
        <v>1</v>
      </c>
      <c r="D2" t="inlineStr">
        <is>
          <t>100%</t>
        </is>
      </c>
      <c r="E2" t="inlineStr">
        <is>
          <t>Critical MSTN</t>
        </is>
      </c>
      <c r="F2" t="inlineStr">
        <is>
          <t>SKU_0003</t>
        </is>
      </c>
      <c r="G2" t="inlineStr">
        <is>
          <t>DC1</t>
        </is>
      </c>
      <c r="H2" t="inlineStr">
        <is>
          <t>Opening inventory of 64 and supply of 0 are insufficient to cover the demand of 72, leading to a projected stockout of 8 units and a breach of the 291 unit safety stock target by 299 units.</t>
        </is>
      </c>
    </row>
    <row r="3">
      <c r="A3" t="inlineStr">
        <is>
          <t>P1</t>
        </is>
      </c>
      <c r="B3" t="inlineStr">
        <is>
          <t>A</t>
        </is>
      </c>
      <c r="C3" t="n">
        <v>4</v>
      </c>
      <c r="D3" t="inlineStr">
        <is>
          <t>100%</t>
        </is>
      </c>
      <c r="E3" t="inlineStr">
        <is>
          <t>Critical MSTN</t>
        </is>
      </c>
      <c r="F3" t="inlineStr">
        <is>
          <t>SKU_0002</t>
        </is>
      </c>
      <c r="G3" t="inlineStr">
        <is>
          <t>DC4</t>
        </is>
      </c>
      <c r="H3" t="inlineStr">
        <is>
          <t>Opening inventory of 107 and supply of 0 are insufficient to cover the demand of 137, leading to a projected stockout of 30 units and a breach of the 458 unit safety stock target by 488 units.</t>
        </is>
      </c>
    </row>
    <row r="4">
      <c r="A4" t="inlineStr">
        <is>
          <t>P1</t>
        </is>
      </c>
      <c r="B4" t="inlineStr">
        <is>
          <t>A</t>
        </is>
      </c>
      <c r="C4" t="n">
        <v>5</v>
      </c>
      <c r="D4" t="inlineStr">
        <is>
          <t>100%</t>
        </is>
      </c>
      <c r="E4" t="inlineStr">
        <is>
          <t>Critical MSTN</t>
        </is>
      </c>
      <c r="F4" t="inlineStr">
        <is>
          <t>SKU_0003</t>
        </is>
      </c>
      <c r="G4" t="inlineStr">
        <is>
          <t>DC1</t>
        </is>
      </c>
      <c r="H4" t="inlineStr">
        <is>
          <t>Opening inventory of 95 and supply of 0 are sufficient to cover the demand of 95. However, the projected closing inventory of 0 falls 291 units below the target safety stock requirement of 291, compromising the critical service level buffer.</t>
        </is>
      </c>
    </row>
    <row r="5">
      <c r="A5" t="inlineStr">
        <is>
          <t>P1</t>
        </is>
      </c>
      <c r="B5" t="inlineStr">
        <is>
          <t>A</t>
        </is>
      </c>
      <c r="C5" t="n">
        <v>6</v>
      </c>
      <c r="D5" t="inlineStr">
        <is>
          <t>100%</t>
        </is>
      </c>
      <c r="E5" t="inlineStr">
        <is>
          <t>Critical MSTN</t>
        </is>
      </c>
      <c r="F5" t="inlineStr">
        <is>
          <t>SKU_0003</t>
        </is>
      </c>
      <c r="G5" t="inlineStr">
        <is>
          <t>DC1</t>
        </is>
      </c>
      <c r="H5" t="inlineStr">
        <is>
          <t>Opening inventory of 0 and supply of 0 are insufficient to cover the demand of 74, leading to a projected stockout of 74 units and a breach of the 291 unit safety stock target by 365 units.</t>
        </is>
      </c>
    </row>
    <row r="6">
      <c r="A6" t="inlineStr">
        <is>
          <t>P1</t>
        </is>
      </c>
      <c r="B6" t="inlineStr">
        <is>
          <t>A</t>
        </is>
      </c>
      <c r="C6" t="n">
        <v>7</v>
      </c>
      <c r="D6" t="inlineStr">
        <is>
          <t>100%</t>
        </is>
      </c>
      <c r="E6" t="inlineStr">
        <is>
          <t>Critical MSTN</t>
        </is>
      </c>
      <c r="F6" t="inlineStr">
        <is>
          <t>SKU_0003</t>
        </is>
      </c>
      <c r="G6" t="inlineStr">
        <is>
          <t>DC1</t>
        </is>
      </c>
      <c r="H6" t="inlineStr">
        <is>
          <t>Opening inventory of 0 and supply of 112 are sufficient to cover the demand of 69. However, the projected closing inventory of 0 falls 291 units below the target safety stock requirement of 291, compromising the critical service level buffer.</t>
        </is>
      </c>
    </row>
    <row r="7">
      <c r="A7" t="inlineStr">
        <is>
          <t>P1</t>
        </is>
      </c>
      <c r="B7" t="inlineStr">
        <is>
          <t>A</t>
        </is>
      </c>
      <c r="C7" t="n">
        <v>8</v>
      </c>
      <c r="D7" t="inlineStr">
        <is>
          <t>100%</t>
        </is>
      </c>
      <c r="E7" t="inlineStr">
        <is>
          <t>Critical MSTN</t>
        </is>
      </c>
      <c r="F7" t="inlineStr">
        <is>
          <t>SKU_0003</t>
        </is>
      </c>
      <c r="G7" t="inlineStr">
        <is>
          <t>DC1</t>
        </is>
      </c>
      <c r="H7" t="inlineStr">
        <is>
          <t>Opening inventory of 0 and supply of 0 are insufficient to cover the demand of 86, leading to a projected stockout of 86 units and a breach of the 291 unit safety stock target by 377 units.</t>
        </is>
      </c>
    </row>
    <row r="8">
      <c r="A8" t="inlineStr">
        <is>
          <t>P1</t>
        </is>
      </c>
      <c r="B8" t="inlineStr">
        <is>
          <t>A</t>
        </is>
      </c>
      <c r="C8" t="n">
        <v>8</v>
      </c>
      <c r="D8" t="inlineStr">
        <is>
          <t>100%</t>
        </is>
      </c>
      <c r="E8" t="inlineStr">
        <is>
          <t>Critical MSTN</t>
        </is>
      </c>
      <c r="F8" t="inlineStr">
        <is>
          <t>SKU_0003</t>
        </is>
      </c>
      <c r="G8" t="inlineStr">
        <is>
          <t>F1</t>
        </is>
      </c>
      <c r="H8" t="inlineStr">
        <is>
          <t>Opening inventory of 580 and supply of 0 are insufficient to cover the demand of 1278, leading to a projected stockout of 698 units and a breach of the 1424 unit safety stock target by 2122 units.</t>
        </is>
      </c>
    </row>
    <row r="9">
      <c r="A9" t="inlineStr">
        <is>
          <t>P1</t>
        </is>
      </c>
      <c r="B9" t="inlineStr">
        <is>
          <t>A</t>
        </is>
      </c>
      <c r="C9" t="n">
        <v>9</v>
      </c>
      <c r="D9" t="inlineStr">
        <is>
          <t>100%</t>
        </is>
      </c>
      <c r="E9" t="inlineStr">
        <is>
          <t>Critical MSTN</t>
        </is>
      </c>
      <c r="F9" t="inlineStr">
        <is>
          <t>SKU_0003</t>
        </is>
      </c>
      <c r="G9" t="inlineStr">
        <is>
          <t>DC1</t>
        </is>
      </c>
      <c r="H9" t="inlineStr">
        <is>
          <t>Opening inventory of 0 and supply of 110 are sufficient to cover the demand of 58. However, the projected closing inventory of 0 falls 291 units below the target safety stock requirement of 291, compromising the critical service level buffer.</t>
        </is>
      </c>
    </row>
    <row r="10">
      <c r="A10" t="inlineStr">
        <is>
          <t>P1</t>
        </is>
      </c>
      <c r="B10" t="inlineStr">
        <is>
          <t>A</t>
        </is>
      </c>
      <c r="C10" t="n">
        <v>9</v>
      </c>
      <c r="D10" t="inlineStr">
        <is>
          <t>100%</t>
        </is>
      </c>
      <c r="E10" t="inlineStr">
        <is>
          <t>High ESTN</t>
        </is>
      </c>
      <c r="F10" t="inlineStr">
        <is>
          <t>SKU_0003</t>
        </is>
      </c>
      <c r="G10" t="inlineStr">
        <is>
          <t>DC5</t>
        </is>
      </c>
      <c r="H10" t="inlineStr">
        <is>
          <t>Opening inventory of 2483 and supply of 694 exceed the demand of 45, resulting in a projected surplus of 3132. This inventory levels violates the maximum stock threshold of 1342 units by 1790 units, increasing holding risk.</t>
        </is>
      </c>
    </row>
    <row r="11">
      <c r="A11" t="inlineStr">
        <is>
          <t>P1</t>
        </is>
      </c>
      <c r="B11" t="inlineStr">
        <is>
          <t>A</t>
        </is>
      </c>
      <c r="C11" t="n">
        <v>10</v>
      </c>
      <c r="D11" t="inlineStr">
        <is>
          <t>100%</t>
        </is>
      </c>
      <c r="E11" t="inlineStr">
        <is>
          <t>Critical MSTN</t>
        </is>
      </c>
      <c r="F11" t="inlineStr">
        <is>
          <t>SKU_0003</t>
        </is>
      </c>
      <c r="G11" t="inlineStr">
        <is>
          <t>DC1</t>
        </is>
      </c>
      <c r="H11" t="inlineStr">
        <is>
          <t>Opening inventory of 0 and supply of 0 are insufficient to cover the demand of 82, leading to a projected stockout of 82 units and a breach of the 291 unit safety stock target by 373 units.</t>
        </is>
      </c>
    </row>
    <row r="12">
      <c r="A12" t="inlineStr">
        <is>
          <t>P1</t>
        </is>
      </c>
      <c r="B12" t="inlineStr">
        <is>
          <t>A</t>
        </is>
      </c>
      <c r="C12" t="n">
        <v>10</v>
      </c>
      <c r="D12" t="inlineStr">
        <is>
          <t>100%</t>
        </is>
      </c>
      <c r="E12" t="inlineStr">
        <is>
          <t>High ESTN</t>
        </is>
      </c>
      <c r="F12" t="inlineStr">
        <is>
          <t>SKU_0003</t>
        </is>
      </c>
      <c r="G12" t="inlineStr">
        <is>
          <t>DC5</t>
        </is>
      </c>
      <c r="H12" t="inlineStr">
        <is>
          <t>Opening inventory of 3132 and supply of 0 exceed the demand of 75, resulting in a projected surplus of 3057. This inventory levels violates the maximum stock threshold of 1342 units by 1715 units, increasing holding risk.</t>
        </is>
      </c>
    </row>
    <row r="13">
      <c r="A13" t="inlineStr">
        <is>
          <t>P1</t>
        </is>
      </c>
      <c r="B13" t="inlineStr">
        <is>
          <t>A</t>
        </is>
      </c>
      <c r="C13" t="n">
        <v>11</v>
      </c>
      <c r="D13" t="inlineStr">
        <is>
          <t>100%</t>
        </is>
      </c>
      <c r="E13" t="inlineStr">
        <is>
          <t>Critical MSTN</t>
        </is>
      </c>
      <c r="F13" t="inlineStr">
        <is>
          <t>SKU_0003</t>
        </is>
      </c>
      <c r="G13" t="inlineStr">
        <is>
          <t>DC1</t>
        </is>
      </c>
      <c r="H13" t="inlineStr">
        <is>
          <t>Opening inventory of 0 and supply of 0 are insufficient to cover the demand of 55, leading to a projected stockout of 55 units and a breach of the 291 unit safety stock target by 346 units.</t>
        </is>
      </c>
    </row>
    <row r="14">
      <c r="A14" t="inlineStr">
        <is>
          <t>P1</t>
        </is>
      </c>
      <c r="B14" t="inlineStr">
        <is>
          <t>A</t>
        </is>
      </c>
      <c r="C14" t="n">
        <v>11</v>
      </c>
      <c r="D14" t="inlineStr">
        <is>
          <t>100%</t>
        </is>
      </c>
      <c r="E14" t="inlineStr">
        <is>
          <t>High ESTN</t>
        </is>
      </c>
      <c r="F14" t="inlineStr">
        <is>
          <t>SKU_0003</t>
        </is>
      </c>
      <c r="G14" t="inlineStr">
        <is>
          <t>DC5</t>
        </is>
      </c>
      <c r="H14" t="inlineStr">
        <is>
          <t>Opening inventory of 3057 and supply of 0 exceed the demand of 96, resulting in a projected surplus of 3062. This inventory levels violates the maximum stock threshold of 1342 units by 1720 units, increasing holding risk.</t>
        </is>
      </c>
    </row>
    <row r="15">
      <c r="A15" t="inlineStr">
        <is>
          <t>P1</t>
        </is>
      </c>
      <c r="B15" t="inlineStr">
        <is>
          <t>A</t>
        </is>
      </c>
      <c r="C15" t="n">
        <v>12</v>
      </c>
      <c r="D15" t="inlineStr">
        <is>
          <t>100%</t>
        </is>
      </c>
      <c r="E15" t="inlineStr">
        <is>
          <t>Critical MSTN</t>
        </is>
      </c>
      <c r="F15" t="inlineStr">
        <is>
          <t>SKU_0003</t>
        </is>
      </c>
      <c r="G15" t="inlineStr">
        <is>
          <t>DC1</t>
        </is>
      </c>
      <c r="H15" t="inlineStr">
        <is>
          <t>Opening inventory of 0 and supply of 0 are insufficient to cover the demand of 43, leading to a projected stockout of 43 units and a breach of the 291 unit safety stock target by 334 units.</t>
        </is>
      </c>
    </row>
    <row r="16">
      <c r="A16" t="inlineStr">
        <is>
          <t>P1</t>
        </is>
      </c>
      <c r="B16" t="inlineStr">
        <is>
          <t>A</t>
        </is>
      </c>
      <c r="C16" t="n">
        <v>12</v>
      </c>
      <c r="D16" t="inlineStr">
        <is>
          <t>100%</t>
        </is>
      </c>
      <c r="E16" t="inlineStr">
        <is>
          <t>High ESTN</t>
        </is>
      </c>
      <c r="F16" t="inlineStr">
        <is>
          <t>SKU_0003</t>
        </is>
      </c>
      <c r="G16" t="inlineStr">
        <is>
          <t>DC5</t>
        </is>
      </c>
      <c r="H16" t="inlineStr">
        <is>
          <t>Opening inventory of 3062 and supply of 0 exceed the demand of 79, resulting in a projected surplus of 2983. This inventory levels violates the maximum stock threshold of 1342 units by 1641 units, increasing holding risk.</t>
        </is>
      </c>
    </row>
    <row r="17">
      <c r="A17" t="inlineStr">
        <is>
          <t>P1</t>
        </is>
      </c>
      <c r="B17" t="inlineStr">
        <is>
          <t>A</t>
        </is>
      </c>
      <c r="C17" t="n">
        <v>7</v>
      </c>
      <c r="D17" t="inlineStr">
        <is>
          <t>90%</t>
        </is>
      </c>
      <c r="E17" t="inlineStr">
        <is>
          <t>High ESTN</t>
        </is>
      </c>
      <c r="F17" t="inlineStr">
        <is>
          <t>SKU_0003</t>
        </is>
      </c>
      <c r="G17" t="inlineStr">
        <is>
          <t>DC5</t>
        </is>
      </c>
      <c r="H17" t="inlineStr">
        <is>
          <t>Opening inventory of 2065 and supply of 605 exceed the demand of 108, resulting in a projected surplus of 2562. This inventory levels violates the maximum stock threshold of 1342 units by 1220 units, increasing holding risk.</t>
        </is>
      </c>
    </row>
    <row r="18">
      <c r="A18" t="inlineStr">
        <is>
          <t>P1</t>
        </is>
      </c>
      <c r="B18" t="inlineStr">
        <is>
          <t>A</t>
        </is>
      </c>
      <c r="C18" t="n">
        <v>1</v>
      </c>
      <c r="D18" t="inlineStr">
        <is>
          <t>85%</t>
        </is>
      </c>
      <c r="E18" t="inlineStr">
        <is>
          <t>High MSTN</t>
        </is>
      </c>
      <c r="F18" t="inlineStr">
        <is>
          <t>SKU_0002</t>
        </is>
      </c>
      <c r="G18" t="inlineStr">
        <is>
          <t>DC4</t>
        </is>
      </c>
      <c r="H18" t="inlineStr">
        <is>
          <t>Opening inventory of 35 and supply of 0 are insufficient to cover the demand of 107, leading to a projected stockout of 72 units and a breach of the 458 unit safety stock target by 530 units.</t>
        </is>
      </c>
    </row>
    <row r="19">
      <c r="A19" t="inlineStr">
        <is>
          <t>P1</t>
        </is>
      </c>
      <c r="B19" t="inlineStr">
        <is>
          <t>A</t>
        </is>
      </c>
      <c r="C19" t="n">
        <v>8</v>
      </c>
      <c r="D19" t="inlineStr">
        <is>
          <t>85%</t>
        </is>
      </c>
      <c r="E19" t="inlineStr">
        <is>
          <t>High ESTN</t>
        </is>
      </c>
      <c r="F19" t="inlineStr">
        <is>
          <t>SKU_0003</t>
        </is>
      </c>
      <c r="G19" t="inlineStr">
        <is>
          <t>DC5</t>
        </is>
      </c>
      <c r="H19" t="inlineStr">
        <is>
          <t>Opening inventory of 2562 and supply of 0 exceed the demand of 79, resulting in a projected surplus of 2483. This inventory levels violates the maximum stock threshold of 1342 units by 1141 units, increasing holding risk.</t>
        </is>
      </c>
    </row>
    <row r="20">
      <c r="A20" t="inlineStr">
        <is>
          <t>P1</t>
        </is>
      </c>
      <c r="B20" t="inlineStr">
        <is>
          <t>A</t>
        </is>
      </c>
      <c r="C20" t="n">
        <v>2</v>
      </c>
      <c r="D20" t="inlineStr">
        <is>
          <t>80%</t>
        </is>
      </c>
      <c r="E20" t="inlineStr">
        <is>
          <t>High MSTN</t>
        </is>
      </c>
      <c r="F20" t="inlineStr">
        <is>
          <t>SKU_0003</t>
        </is>
      </c>
      <c r="G20" t="inlineStr">
        <is>
          <t>DC1</t>
        </is>
      </c>
      <c r="H20" t="inlineStr">
        <is>
          <t>Opening inventory of 0 and supply of 0 are insufficient to cover the demand of 73, leading to a projected stockout of 73 units and a breach of the 291 unit safety stock target by 364 units.</t>
        </is>
      </c>
    </row>
    <row r="21">
      <c r="A21" t="inlineStr">
        <is>
          <t>P1</t>
        </is>
      </c>
      <c r="B21" t="inlineStr">
        <is>
          <t>A</t>
        </is>
      </c>
      <c r="C21" t="n">
        <v>3</v>
      </c>
      <c r="D21" t="inlineStr">
        <is>
          <t>76%</t>
        </is>
      </c>
      <c r="E21" t="inlineStr">
        <is>
          <t>High MSTN</t>
        </is>
      </c>
      <c r="F21" t="inlineStr">
        <is>
          <t>SKU_0002</t>
        </is>
      </c>
      <c r="G21" t="inlineStr">
        <is>
          <t>DC4</t>
        </is>
      </c>
      <c r="H21" t="inlineStr">
        <is>
          <t>Opening inventory of 212 and supply of 0 are sufficient to cover the demand of 105. However, the projected closing inventory of 107 falls 351 units below the target safety stock requirement of 458, compromising the critical service level buffer.</t>
        </is>
      </c>
    </row>
    <row r="22">
      <c r="A22" t="inlineStr">
        <is>
          <t>P1</t>
        </is>
      </c>
      <c r="B22" t="inlineStr">
        <is>
          <t>A</t>
        </is>
      </c>
      <c r="C22" t="n">
        <v>7</v>
      </c>
      <c r="D22" t="inlineStr">
        <is>
          <t>59%</t>
        </is>
      </c>
      <c r="E22" t="inlineStr">
        <is>
          <t>High MSTN</t>
        </is>
      </c>
      <c r="F22" t="inlineStr">
        <is>
          <t>SKU_0003</t>
        </is>
      </c>
      <c r="G22" t="inlineStr">
        <is>
          <t>F1</t>
        </is>
      </c>
      <c r="H22" t="inlineStr">
        <is>
          <t>Opening inventory of 906 and supply of 0 are sufficient to cover the demand of 326. However, the projected closing inventory of 580 falls 844 units below the target safety stock requirement of 1424, compromising the critical service level buffer.</t>
        </is>
      </c>
    </row>
    <row r="23">
      <c r="A23" t="inlineStr">
        <is>
          <t>P1</t>
        </is>
      </c>
      <c r="B23" t="inlineStr">
        <is>
          <t>A</t>
        </is>
      </c>
      <c r="C23" t="n">
        <v>2</v>
      </c>
      <c r="D23" t="inlineStr">
        <is>
          <t>53%</t>
        </is>
      </c>
      <c r="E23" t="inlineStr">
        <is>
          <t>High MSTN</t>
        </is>
      </c>
      <c r="F23" t="inlineStr">
        <is>
          <t>SKU_0002</t>
        </is>
      </c>
      <c r="G23" t="inlineStr">
        <is>
          <t>DC4</t>
        </is>
      </c>
      <c r="H23" t="inlineStr">
        <is>
          <t>Opening inventory of 65 and supply of 336 are sufficient to cover the demand of 189. However, the projected closing inventory of 212 falls 246 units below the target safety stock requirement of 458, compromising the critical service level buffer.</t>
        </is>
      </c>
    </row>
    <row r="24">
      <c r="A24" t="inlineStr">
        <is>
          <t>P1</t>
        </is>
      </c>
      <c r="B24" t="inlineStr">
        <is>
          <t>A</t>
        </is>
      </c>
      <c r="C24" t="n">
        <v>6</v>
      </c>
      <c r="D24" t="inlineStr">
        <is>
          <t>53%</t>
        </is>
      </c>
      <c r="E24" t="inlineStr">
        <is>
          <t>High ESTN</t>
        </is>
      </c>
      <c r="F24" t="inlineStr">
        <is>
          <t>SKU_0003</t>
        </is>
      </c>
      <c r="G24" t="inlineStr">
        <is>
          <t>DC5</t>
        </is>
      </c>
      <c r="H24" t="inlineStr">
        <is>
          <t>Opening inventory of 1887 and supply of 268 exceed the demand of 90, resulting in a projected surplus of 2065. This inventory levels violates the maximum stock threshold of 1342 units by 723 units, increasing holding risk.</t>
        </is>
      </c>
    </row>
    <row r="25">
      <c r="A25" t="inlineStr">
        <is>
          <t>P1</t>
        </is>
      </c>
      <c r="B25" t="inlineStr">
        <is>
          <t>A</t>
        </is>
      </c>
      <c r="C25" t="n">
        <v>5</v>
      </c>
      <c r="D25" t="inlineStr">
        <is>
          <t>40%</t>
        </is>
      </c>
      <c r="E25" t="inlineStr">
        <is>
          <t>High ESTN</t>
        </is>
      </c>
      <c r="F25" t="inlineStr">
        <is>
          <t>SKU_0003</t>
        </is>
      </c>
      <c r="G25" t="inlineStr">
        <is>
          <t>DC5</t>
        </is>
      </c>
      <c r="H25" t="inlineStr">
        <is>
          <t>Opening inventory of 1557 and supply of 408 exceed the demand of 78, resulting in a projected surplus of 1887. This inventory levels violates the maximum stock threshold of 1342 units by 545 units, increasing holding risk.</t>
        </is>
      </c>
    </row>
    <row r="26">
      <c r="A26" t="inlineStr">
        <is>
          <t>P1</t>
        </is>
      </c>
      <c r="B26" t="inlineStr">
        <is>
          <t>A</t>
        </is>
      </c>
      <c r="C26" t="n">
        <v>1</v>
      </c>
      <c r="D26" t="inlineStr">
        <is>
          <t>36%</t>
        </is>
      </c>
      <c r="E26" t="inlineStr">
        <is>
          <t>High MSTN</t>
        </is>
      </c>
      <c r="F26" t="inlineStr">
        <is>
          <t>SKU_0002</t>
        </is>
      </c>
      <c r="G26" t="inlineStr">
        <is>
          <t>DC1</t>
        </is>
      </c>
      <c r="H26" t="inlineStr">
        <is>
          <t>Opening inventory of 385 and supply of 0 are sufficient to cover the demand of 82. However, the projected closing inventory of 303 falls 177 units below the target safety stock requirement of 480, compromising the critical service level buffer.</t>
        </is>
      </c>
    </row>
    <row r="27">
      <c r="A27" t="inlineStr">
        <is>
          <t>P1</t>
        </is>
      </c>
      <c r="B27" t="inlineStr">
        <is>
          <t>A</t>
        </is>
      </c>
      <c r="C27" t="n">
        <v>6</v>
      </c>
      <c r="D27" t="inlineStr">
        <is>
          <t>36%</t>
        </is>
      </c>
      <c r="E27" t="inlineStr">
        <is>
          <t>High MSTN</t>
        </is>
      </c>
      <c r="F27" t="inlineStr">
        <is>
          <t>SKU_0003</t>
        </is>
      </c>
      <c r="G27" t="inlineStr">
        <is>
          <t>F1</t>
        </is>
      </c>
      <c r="H27" t="inlineStr">
        <is>
          <t>Opening inventory of 2052 and supply of 0 are sufficient to cover the demand of 1146. However, the projected closing inventory of 906 falls 518 units below the target safety stock requirement of 1424, compromising the critical service level buffer.</t>
        </is>
      </c>
    </row>
    <row r="28">
      <c r="A28" t="inlineStr">
        <is>
          <t>P1</t>
        </is>
      </c>
      <c r="B28" t="inlineStr">
        <is>
          <t>B</t>
        </is>
      </c>
      <c r="C28" t="n">
        <v>6</v>
      </c>
      <c r="D28" t="inlineStr">
        <is>
          <t>100%</t>
        </is>
      </c>
      <c r="E28" t="inlineStr">
        <is>
          <t>High ESTN</t>
        </is>
      </c>
      <c r="F28" t="inlineStr">
        <is>
          <t>SKU_0005</t>
        </is>
      </c>
      <c r="G28" t="inlineStr">
        <is>
          <t>DC1</t>
        </is>
      </c>
      <c r="H28" t="inlineStr">
        <is>
          <t>Opening inventory of 1455 and supply of 610 exceed the demand of 83, resulting in a projected surplus of 1982. This inventory levels violates the maximum stock threshold of 804 units by 1178 units, increasing holding risk.</t>
        </is>
      </c>
    </row>
    <row r="29">
      <c r="A29" t="inlineStr">
        <is>
          <t>P1</t>
        </is>
      </c>
      <c r="B29" t="inlineStr">
        <is>
          <t>B</t>
        </is>
      </c>
      <c r="C29" t="n">
        <v>7</v>
      </c>
      <c r="D29" t="inlineStr">
        <is>
          <t>100%</t>
        </is>
      </c>
      <c r="E29" t="inlineStr">
        <is>
          <t>High ESTN</t>
        </is>
      </c>
      <c r="F29" t="inlineStr">
        <is>
          <t>SKU_0005</t>
        </is>
      </c>
      <c r="G29" t="inlineStr">
        <is>
          <t>DC1</t>
        </is>
      </c>
      <c r="H29" t="inlineStr">
        <is>
          <t>Opening inventory of 1982 and supply of 0 exceed the demand of 85, resulting in a projected surplus of 1897. This inventory levels violates the maximum stock threshold of 804 units by 1093 units, increasing holding risk.</t>
        </is>
      </c>
    </row>
    <row r="30">
      <c r="A30" t="inlineStr">
        <is>
          <t>P1</t>
        </is>
      </c>
      <c r="B30" t="inlineStr">
        <is>
          <t>B</t>
        </is>
      </c>
      <c r="C30" t="n">
        <v>8</v>
      </c>
      <c r="D30" t="inlineStr">
        <is>
          <t>100%</t>
        </is>
      </c>
      <c r="E30" t="inlineStr">
        <is>
          <t>High ESTN</t>
        </is>
      </c>
      <c r="F30" t="inlineStr">
        <is>
          <t>SKU_0005</t>
        </is>
      </c>
      <c r="G30" t="inlineStr">
        <is>
          <t>DC1</t>
        </is>
      </c>
      <c r="H30" t="inlineStr">
        <is>
          <t>Opening inventory of 1897 and supply of 575 exceed the demand of 80, resulting in a projected surplus of 2392. This inventory levels violates the maximum stock threshold of 804 units by 1588 units, increasing holding risk.</t>
        </is>
      </c>
    </row>
    <row r="31">
      <c r="A31" t="inlineStr">
        <is>
          <t>P1</t>
        </is>
      </c>
      <c r="B31" t="inlineStr">
        <is>
          <t>B</t>
        </is>
      </c>
      <c r="C31" t="n">
        <v>8</v>
      </c>
      <c r="D31" t="inlineStr">
        <is>
          <t>100%</t>
        </is>
      </c>
      <c r="E31" t="inlineStr">
        <is>
          <t>High ESTN</t>
        </is>
      </c>
      <c r="F31" t="inlineStr">
        <is>
          <t>SKU_0005</t>
        </is>
      </c>
      <c r="G31" t="inlineStr">
        <is>
          <t>F1</t>
        </is>
      </c>
      <c r="H31" t="inlineStr">
        <is>
          <t>Opening inventory of 4388 and supply of 2097 exceed the demand of 135, resulting in a projected surplus of 6350. This inventory levels violates the maximum stock threshold of 3086 units by 3264 units, increasing holding risk.</t>
        </is>
      </c>
    </row>
    <row r="32">
      <c r="A32" t="inlineStr">
        <is>
          <t>P1</t>
        </is>
      </c>
      <c r="B32" t="inlineStr">
        <is>
          <t>B</t>
        </is>
      </c>
      <c r="C32" t="n">
        <v>9</v>
      </c>
      <c r="D32" t="inlineStr">
        <is>
          <t>100%</t>
        </is>
      </c>
      <c r="E32" t="inlineStr">
        <is>
          <t>High ESTN</t>
        </is>
      </c>
      <c r="F32" t="inlineStr">
        <is>
          <t>SKU_0005</t>
        </is>
      </c>
      <c r="G32" t="inlineStr">
        <is>
          <t>DC1</t>
        </is>
      </c>
      <c r="H32" t="inlineStr">
        <is>
          <t>Opening inventory of 2392 and supply of 135 exceed the demand of 93, resulting in a projected surplus of 2434. This inventory levels violates the maximum stock threshold of 804 units by 1630 units, increasing holding risk.</t>
        </is>
      </c>
    </row>
    <row r="33">
      <c r="A33" t="inlineStr">
        <is>
          <t>P1</t>
        </is>
      </c>
      <c r="B33" t="inlineStr">
        <is>
          <t>B</t>
        </is>
      </c>
      <c r="C33" t="n">
        <v>9</v>
      </c>
      <c r="D33" t="inlineStr">
        <is>
          <t>100%</t>
        </is>
      </c>
      <c r="E33" t="inlineStr">
        <is>
          <t>High ESTN</t>
        </is>
      </c>
      <c r="F33" t="inlineStr">
        <is>
          <t>SKU_0005</t>
        </is>
      </c>
      <c r="G33" t="inlineStr">
        <is>
          <t>F1</t>
        </is>
      </c>
      <c r="H33" t="inlineStr">
        <is>
          <t>Opening inventory of 6350 and supply of 928 exceed the demand of 27, resulting in a projected surplus of 7251. This inventory levels violates the maximum stock threshold of 3086 units by 4165 units, increasing holding risk.</t>
        </is>
      </c>
    </row>
    <row r="34">
      <c r="A34" t="inlineStr">
        <is>
          <t>P1</t>
        </is>
      </c>
      <c r="B34" t="inlineStr">
        <is>
          <t>B</t>
        </is>
      </c>
      <c r="C34" t="n">
        <v>10</v>
      </c>
      <c r="D34" t="inlineStr">
        <is>
          <t>100%</t>
        </is>
      </c>
      <c r="E34" t="inlineStr">
        <is>
          <t>High ESTN</t>
        </is>
      </c>
      <c r="F34" t="inlineStr">
        <is>
          <t>SKU_0005</t>
        </is>
      </c>
      <c r="G34" t="inlineStr">
        <is>
          <t>DC1</t>
        </is>
      </c>
      <c r="H34" t="inlineStr">
        <is>
          <t>Opening inventory of 2434 and supply of 0 exceed the demand of 104, resulting in a projected surplus of 2573. This inventory levels violates the maximum stock threshold of 804 units by 1769 units, increasing holding risk.</t>
        </is>
      </c>
    </row>
    <row r="35">
      <c r="A35" t="inlineStr">
        <is>
          <t>P1</t>
        </is>
      </c>
      <c r="B35" t="inlineStr">
        <is>
          <t>B</t>
        </is>
      </c>
      <c r="C35" t="n">
        <v>10</v>
      </c>
      <c r="D35" t="inlineStr">
        <is>
          <t>100%</t>
        </is>
      </c>
      <c r="E35" t="inlineStr">
        <is>
          <t>High ESTN</t>
        </is>
      </c>
      <c r="F35" t="inlineStr">
        <is>
          <t>SKU_0005</t>
        </is>
      </c>
      <c r="G35" t="inlineStr">
        <is>
          <t>F1</t>
        </is>
      </c>
      <c r="H35" t="inlineStr">
        <is>
          <t>Opening inventory of 7251 and supply of 987 exceed the demand of 165, resulting in a projected surplus of 8073. This inventory levels violates the maximum stock threshold of 3086 units by 4987 units, increasing holding risk.</t>
        </is>
      </c>
    </row>
    <row r="36">
      <c r="A36" t="inlineStr">
        <is>
          <t>P1</t>
        </is>
      </c>
      <c r="B36" t="inlineStr">
        <is>
          <t>B</t>
        </is>
      </c>
      <c r="C36" t="n">
        <v>11</v>
      </c>
      <c r="D36" t="inlineStr">
        <is>
          <t>100%</t>
        </is>
      </c>
      <c r="E36" t="inlineStr">
        <is>
          <t>High ESTN</t>
        </is>
      </c>
      <c r="F36" t="inlineStr">
        <is>
          <t>SKU_0005</t>
        </is>
      </c>
      <c r="G36" t="inlineStr">
        <is>
          <t>DC1</t>
        </is>
      </c>
      <c r="H36" t="inlineStr">
        <is>
          <t>Opening inventory of 2573 and supply of 0 exceed the demand of 101, resulting in a projected surplus of 2472. This inventory levels violates the maximum stock threshold of 804 units by 1668 units, increasing holding risk.</t>
        </is>
      </c>
    </row>
    <row r="37">
      <c r="A37" t="inlineStr">
        <is>
          <t>P1</t>
        </is>
      </c>
      <c r="B37" t="inlineStr">
        <is>
          <t>B</t>
        </is>
      </c>
      <c r="C37" t="n">
        <v>11</v>
      </c>
      <c r="D37" t="inlineStr">
        <is>
          <t>100%</t>
        </is>
      </c>
      <c r="E37" t="inlineStr">
        <is>
          <t>High ESTN</t>
        </is>
      </c>
      <c r="F37" t="inlineStr">
        <is>
          <t>SKU_0005</t>
        </is>
      </c>
      <c r="G37" t="inlineStr">
        <is>
          <t>F1</t>
        </is>
      </c>
      <c r="H37" t="inlineStr">
        <is>
          <t>Opening inventory of 8073 and supply of 0 exceed the demand of 244, resulting in a projected surplus of 8325. This inventory levels violates the maximum stock threshold of 3086 units by 5239 units, increasing holding risk.</t>
        </is>
      </c>
    </row>
    <row r="38">
      <c r="A38" t="inlineStr">
        <is>
          <t>P1</t>
        </is>
      </c>
      <c r="B38" t="inlineStr">
        <is>
          <t>B</t>
        </is>
      </c>
      <c r="C38" t="n">
        <v>12</v>
      </c>
      <c r="D38" t="inlineStr">
        <is>
          <t>100%</t>
        </is>
      </c>
      <c r="E38" t="inlineStr">
        <is>
          <t>High ESTN</t>
        </is>
      </c>
      <c r="F38" t="inlineStr">
        <is>
          <t>SKU_0005</t>
        </is>
      </c>
      <c r="G38" t="inlineStr">
        <is>
          <t>DC1</t>
        </is>
      </c>
      <c r="H38" t="inlineStr">
        <is>
          <t>Opening inventory of 2472 and supply of 0 exceed the demand of 89, resulting in a projected surplus of 2383. This inventory levels violates the maximum stock threshold of 804 units by 1579 units, increasing holding risk.</t>
        </is>
      </c>
    </row>
    <row r="39">
      <c r="A39" t="inlineStr">
        <is>
          <t>P1</t>
        </is>
      </c>
      <c r="B39" t="inlineStr">
        <is>
          <t>B</t>
        </is>
      </c>
      <c r="C39" t="n">
        <v>12</v>
      </c>
      <c r="D39" t="inlineStr">
        <is>
          <t>100%</t>
        </is>
      </c>
      <c r="E39" t="inlineStr">
        <is>
          <t>High ESTN</t>
        </is>
      </c>
      <c r="F39" t="inlineStr">
        <is>
          <t>SKU_0005</t>
        </is>
      </c>
      <c r="G39" t="inlineStr">
        <is>
          <t>F1</t>
        </is>
      </c>
      <c r="H39" t="inlineStr">
        <is>
          <t>Opening inventory of 8325 and supply of 825 exceed the demand of 0, resulting in a projected surplus of 9150. This inventory levels violates the maximum stock threshold of 3086 units by 6064 units, increasing holding risk.</t>
        </is>
      </c>
    </row>
    <row r="40">
      <c r="A40" t="inlineStr">
        <is>
          <t>P1</t>
        </is>
      </c>
      <c r="B40" t="inlineStr">
        <is>
          <t>B</t>
        </is>
      </c>
      <c r="C40" t="n">
        <v>5</v>
      </c>
      <c r="D40" t="inlineStr">
        <is>
          <t>80%</t>
        </is>
      </c>
      <c r="E40" t="inlineStr">
        <is>
          <t>High ESTN</t>
        </is>
      </c>
      <c r="F40" t="inlineStr">
        <is>
          <t>SKU_0005</t>
        </is>
      </c>
      <c r="G40" t="inlineStr">
        <is>
          <t>DC1</t>
        </is>
      </c>
      <c r="H40" t="inlineStr">
        <is>
          <t>Opening inventory of 1310 and supply of 225 exceed the demand of 80, resulting in a projected surplus of 1455. This inventory levels violates the maximum stock threshold of 804 units by 651 units, increasing holding risk.</t>
        </is>
      </c>
    </row>
    <row r="41">
      <c r="A41" t="inlineStr">
        <is>
          <t>P1</t>
        </is>
      </c>
      <c r="B41" t="inlineStr">
        <is>
          <t>B</t>
        </is>
      </c>
      <c r="C41" t="n">
        <v>2</v>
      </c>
      <c r="D41" t="inlineStr">
        <is>
          <t>63%</t>
        </is>
      </c>
      <c r="E41" t="inlineStr">
        <is>
          <t>High ESTN</t>
        </is>
      </c>
      <c r="F41" t="inlineStr">
        <is>
          <t>SKU_0005</t>
        </is>
      </c>
      <c r="G41" t="inlineStr">
        <is>
          <t>DC1</t>
        </is>
      </c>
      <c r="H41" t="inlineStr">
        <is>
          <t>Opening inventory of 695 and supply of 681 exceed the demand of 65, resulting in a projected surplus of 1311. This inventory levels violates the maximum stock threshold of 804 units by 507 units, increasing holding risk.</t>
        </is>
      </c>
    </row>
    <row r="42">
      <c r="A42" t="inlineStr">
        <is>
          <t>P1</t>
        </is>
      </c>
      <c r="B42" t="inlineStr">
        <is>
          <t>B</t>
        </is>
      </c>
      <c r="C42" t="n">
        <v>4</v>
      </c>
      <c r="D42" t="inlineStr">
        <is>
          <t>62%</t>
        </is>
      </c>
      <c r="E42" t="inlineStr">
        <is>
          <t>High ESTN</t>
        </is>
      </c>
      <c r="F42" t="inlineStr">
        <is>
          <t>SKU_0005</t>
        </is>
      </c>
      <c r="G42" t="inlineStr">
        <is>
          <t>DC1</t>
        </is>
      </c>
      <c r="H42" t="inlineStr">
        <is>
          <t>Opening inventory of 1203 and supply of 0 exceed the demand of 87, resulting in a projected surplus of 1310. This inventory levels violates the maximum stock threshold of 804 units by 506 units, increasing holding risk.</t>
        </is>
      </c>
    </row>
    <row r="43">
      <c r="A43" t="inlineStr">
        <is>
          <t>P1</t>
        </is>
      </c>
      <c r="B43" t="inlineStr">
        <is>
          <t>B</t>
        </is>
      </c>
      <c r="C43" t="n">
        <v>3</v>
      </c>
      <c r="D43" t="inlineStr">
        <is>
          <t>49%</t>
        </is>
      </c>
      <c r="E43" t="inlineStr">
        <is>
          <t>High ESTN</t>
        </is>
      </c>
      <c r="F43" t="inlineStr">
        <is>
          <t>SKU_0005</t>
        </is>
      </c>
      <c r="G43" t="inlineStr">
        <is>
          <t>DC1</t>
        </is>
      </c>
      <c r="H43" t="inlineStr">
        <is>
          <t>Opening inventory of 1311 and supply of 0 exceed the demand of 108, resulting in a projected surplus of 1203. This inventory levels violates the maximum stock threshold of 804 units by 399 units, increasing holding risk.</t>
        </is>
      </c>
    </row>
    <row r="44">
      <c r="A44" t="inlineStr">
        <is>
          <t>P1</t>
        </is>
      </c>
      <c r="B44" t="inlineStr">
        <is>
          <t>B</t>
        </is>
      </c>
      <c r="C44" t="n">
        <v>6</v>
      </c>
      <c r="D44" t="inlineStr">
        <is>
          <t>44%</t>
        </is>
      </c>
      <c r="E44" t="inlineStr">
        <is>
          <t>High ESTN</t>
        </is>
      </c>
      <c r="F44" t="inlineStr">
        <is>
          <t>SKU_0005</t>
        </is>
      </c>
      <c r="G44" t="inlineStr">
        <is>
          <t>F1</t>
        </is>
      </c>
      <c r="H44" t="inlineStr">
        <is>
          <t>Opening inventory of 3930 and supply of 621 exceed the demand of 80, resulting in a projected surplus of 4471. This inventory levels violates the maximum stock threshold of 3086 units by 1385 units, increasing holding risk.</t>
        </is>
      </c>
    </row>
    <row r="45">
      <c r="A45" t="inlineStr">
        <is>
          <t>P1</t>
        </is>
      </c>
      <c r="B45" t="inlineStr">
        <is>
          <t>B</t>
        </is>
      </c>
      <c r="C45" t="n">
        <v>7</v>
      </c>
      <c r="D45" t="inlineStr">
        <is>
          <t>42%</t>
        </is>
      </c>
      <c r="E45" t="inlineStr">
        <is>
          <t>High ESTN</t>
        </is>
      </c>
      <c r="F45" t="inlineStr">
        <is>
          <t>SKU_0005</t>
        </is>
      </c>
      <c r="G45" t="inlineStr">
        <is>
          <t>F1</t>
        </is>
      </c>
      <c r="H45" t="inlineStr">
        <is>
          <t>Opening inventory of 4471 and supply of 595 exceed the demand of 678, resulting in a projected surplus of 4388. This inventory levels violates the maximum stock threshold of 3086 units by 1302 units, increasing holding risk.</t>
        </is>
      </c>
    </row>
    <row r="46">
      <c r="A46" t="inlineStr">
        <is>
          <t>P1</t>
        </is>
      </c>
      <c r="B46" t="inlineStr">
        <is>
          <t>B</t>
        </is>
      </c>
      <c r="C46" t="n">
        <v>5</v>
      </c>
      <c r="D46" t="inlineStr">
        <is>
          <t>27%</t>
        </is>
      </c>
      <c r="E46" t="inlineStr">
        <is>
          <t>High ESTN</t>
        </is>
      </c>
      <c r="F46" t="inlineStr">
        <is>
          <t>SKU_0005</t>
        </is>
      </c>
      <c r="G46" t="inlineStr">
        <is>
          <t>F1</t>
        </is>
      </c>
      <c r="H46" t="inlineStr">
        <is>
          <t>Opening inventory of 3164 and supply of 2110 exceed the demand of 1344, resulting in a projected surplus of 3930. This inventory levels violates the maximum stock threshold of 3086 units by 844 units, increasing holding risk.</t>
        </is>
      </c>
    </row>
    <row r="47">
      <c r="A47" t="inlineStr">
        <is>
          <t>P1</t>
        </is>
      </c>
      <c r="B47" t="inlineStr">
        <is>
          <t>C</t>
        </is>
      </c>
      <c r="C47" t="n">
        <v>7</v>
      </c>
      <c r="D47" t="inlineStr">
        <is>
          <t>100%</t>
        </is>
      </c>
      <c r="E47" t="inlineStr">
        <is>
          <t>High ESTN</t>
        </is>
      </c>
      <c r="F47" t="inlineStr">
        <is>
          <t>SKU_0001</t>
        </is>
      </c>
      <c r="G47" t="inlineStr">
        <is>
          <t>DC4</t>
        </is>
      </c>
      <c r="H47" t="inlineStr">
        <is>
          <t>Opening inventory of 283 and supply of 45 exceed the demand of 20, resulting in a projected surplus of 308. This inventory levels violates the maximum stock threshold of 143 units by 165 units, increasing holding risk.</t>
        </is>
      </c>
    </row>
    <row r="48">
      <c r="A48" t="inlineStr">
        <is>
          <t>P1</t>
        </is>
      </c>
      <c r="B48" t="inlineStr">
        <is>
          <t>C</t>
        </is>
      </c>
      <c r="C48" t="n">
        <v>8</v>
      </c>
      <c r="D48" t="inlineStr">
        <is>
          <t>100%</t>
        </is>
      </c>
      <c r="E48" t="inlineStr">
        <is>
          <t>High ESTN</t>
        </is>
      </c>
      <c r="F48" t="inlineStr">
        <is>
          <t>SKU_0001</t>
        </is>
      </c>
      <c r="G48" t="inlineStr">
        <is>
          <t>DC1</t>
        </is>
      </c>
      <c r="H48" t="inlineStr">
        <is>
          <t>Opening inventory of 1107 and supply of 131 exceed the demand of 77, resulting in a projected surplus of 1161. This inventory levels violates the maximum stock threshold of 558 units by 603 units, increasing holding risk.</t>
        </is>
      </c>
    </row>
    <row r="49">
      <c r="A49" t="inlineStr">
        <is>
          <t>P1</t>
        </is>
      </c>
      <c r="B49" t="inlineStr">
        <is>
          <t>C</t>
        </is>
      </c>
      <c r="C49" t="n">
        <v>8</v>
      </c>
      <c r="D49" t="inlineStr">
        <is>
          <t>100%</t>
        </is>
      </c>
      <c r="E49" t="inlineStr">
        <is>
          <t>High ESTN</t>
        </is>
      </c>
      <c r="F49" t="inlineStr">
        <is>
          <t>SKU_0001</t>
        </is>
      </c>
      <c r="G49" t="inlineStr">
        <is>
          <t>DC4</t>
        </is>
      </c>
      <c r="H49" t="inlineStr">
        <is>
          <t>Opening inventory of 308 and supply of 0 exceed the demand of 13, resulting in a projected surplus of 295. This inventory levels violates the maximum stock threshold of 143 units by 152 units, increasing holding risk.</t>
        </is>
      </c>
    </row>
    <row r="50">
      <c r="A50" t="inlineStr">
        <is>
          <t>P1</t>
        </is>
      </c>
      <c r="B50" t="inlineStr">
        <is>
          <t>C</t>
        </is>
      </c>
      <c r="C50" t="n">
        <v>9</v>
      </c>
      <c r="D50" t="inlineStr">
        <is>
          <t>100%</t>
        </is>
      </c>
      <c r="E50" t="inlineStr">
        <is>
          <t>High ESTN</t>
        </is>
      </c>
      <c r="F50" t="inlineStr">
        <is>
          <t>SKU_0001</t>
        </is>
      </c>
      <c r="G50" t="inlineStr">
        <is>
          <t>DC2</t>
        </is>
      </c>
      <c r="H50" t="inlineStr">
        <is>
          <t>Opening inventory of 559 and supply of 271 exceed the demand of 45, resulting in a projected surplus of 785. This inventory levels violates the maximum stock threshold of 367 units by 418 units, increasing holding risk.</t>
        </is>
      </c>
    </row>
    <row r="51">
      <c r="A51" t="inlineStr">
        <is>
          <t>P1</t>
        </is>
      </c>
      <c r="B51" t="inlineStr">
        <is>
          <t>C</t>
        </is>
      </c>
      <c r="C51" t="n">
        <v>9</v>
      </c>
      <c r="D51" t="inlineStr">
        <is>
          <t>100%</t>
        </is>
      </c>
      <c r="E51" t="inlineStr">
        <is>
          <t>High ESTN</t>
        </is>
      </c>
      <c r="F51" t="inlineStr">
        <is>
          <t>SKU_0001</t>
        </is>
      </c>
      <c r="G51" t="inlineStr">
        <is>
          <t>DC4</t>
        </is>
      </c>
      <c r="H51" t="inlineStr">
        <is>
          <t>Opening inventory of 295 and supply of 51 exceed the demand of 16, resulting in a projected surplus of 330. This inventory levels violates the maximum stock threshold of 143 units by 187 units, increasing holding risk.</t>
        </is>
      </c>
    </row>
    <row r="52">
      <c r="A52" t="inlineStr">
        <is>
          <t>P1</t>
        </is>
      </c>
      <c r="B52" t="inlineStr">
        <is>
          <t>C</t>
        </is>
      </c>
      <c r="C52" t="n">
        <v>10</v>
      </c>
      <c r="D52" t="inlineStr">
        <is>
          <t>100%</t>
        </is>
      </c>
      <c r="E52" t="inlineStr">
        <is>
          <t>High ESTN</t>
        </is>
      </c>
      <c r="F52" t="inlineStr">
        <is>
          <t>SKU_0001</t>
        </is>
      </c>
      <c r="G52" t="inlineStr">
        <is>
          <t>DC1</t>
        </is>
      </c>
      <c r="H52" t="inlineStr">
        <is>
          <t>Opening inventory of 1115 and supply of 407 exceed the demand of 56, resulting in a projected surplus of 1466. This inventory levels violates the maximum stock threshold of 558 units by 908 units, increasing holding risk.</t>
        </is>
      </c>
    </row>
    <row r="53">
      <c r="A53" t="inlineStr">
        <is>
          <t>P1</t>
        </is>
      </c>
      <c r="B53" t="inlineStr">
        <is>
          <t>C</t>
        </is>
      </c>
      <c r="C53" t="n">
        <v>10</v>
      </c>
      <c r="D53" t="inlineStr">
        <is>
          <t>100%</t>
        </is>
      </c>
      <c r="E53" t="inlineStr">
        <is>
          <t>High ESTN</t>
        </is>
      </c>
      <c r="F53" t="inlineStr">
        <is>
          <t>SKU_0001</t>
        </is>
      </c>
      <c r="G53" t="inlineStr">
        <is>
          <t>DC2</t>
        </is>
      </c>
      <c r="H53" t="inlineStr">
        <is>
          <t>Opening inventory of 785 and supply of 0 exceed the demand of 42, resulting in a projected surplus of 824. This inventory levels violates the maximum stock threshold of 367 units by 457 units, increasing holding risk.</t>
        </is>
      </c>
    </row>
    <row r="54">
      <c r="A54" t="inlineStr">
        <is>
          <t>P1</t>
        </is>
      </c>
      <c r="B54" t="inlineStr">
        <is>
          <t>C</t>
        </is>
      </c>
      <c r="C54" t="n">
        <v>10</v>
      </c>
      <c r="D54" t="inlineStr">
        <is>
          <t>100%</t>
        </is>
      </c>
      <c r="E54" t="inlineStr">
        <is>
          <t>High ESTN</t>
        </is>
      </c>
      <c r="F54" t="inlineStr">
        <is>
          <t>SKU_0001</t>
        </is>
      </c>
      <c r="G54" t="inlineStr">
        <is>
          <t>DC4</t>
        </is>
      </c>
      <c r="H54" t="inlineStr">
        <is>
          <t>Opening inventory of 330 and supply of 0 exceed the demand of 14, resulting in a projected surplus of 357. This inventory levels violates the maximum stock threshold of 143 units by 214 units, increasing holding risk.</t>
        </is>
      </c>
    </row>
    <row r="55">
      <c r="A55" t="inlineStr">
        <is>
          <t>P1</t>
        </is>
      </c>
      <c r="B55" t="inlineStr">
        <is>
          <t>C</t>
        </is>
      </c>
      <c r="C55" t="n">
        <v>11</v>
      </c>
      <c r="D55" t="inlineStr">
        <is>
          <t>100%</t>
        </is>
      </c>
      <c r="E55" t="inlineStr">
        <is>
          <t>High ESTN</t>
        </is>
      </c>
      <c r="F55" t="inlineStr">
        <is>
          <t>SKU_0001</t>
        </is>
      </c>
      <c r="G55" t="inlineStr">
        <is>
          <t>DC1</t>
        </is>
      </c>
      <c r="H55" t="inlineStr">
        <is>
          <t>Opening inventory of 1466 and supply of 196 exceed the demand of 70, resulting in a projected surplus of 1592. This inventory levels violates the maximum stock threshold of 558 units by 1034 units, increasing holding risk.</t>
        </is>
      </c>
    </row>
    <row r="56">
      <c r="A56" t="inlineStr">
        <is>
          <t>P1</t>
        </is>
      </c>
      <c r="B56" t="inlineStr">
        <is>
          <t>C</t>
        </is>
      </c>
      <c r="C56" t="n">
        <v>11</v>
      </c>
      <c r="D56" t="inlineStr">
        <is>
          <t>100%</t>
        </is>
      </c>
      <c r="E56" t="inlineStr">
        <is>
          <t>High ESTN</t>
        </is>
      </c>
      <c r="F56" t="inlineStr">
        <is>
          <t>SKU_0001</t>
        </is>
      </c>
      <c r="G56" t="inlineStr">
        <is>
          <t>DC2</t>
        </is>
      </c>
      <c r="H56" t="inlineStr">
        <is>
          <t>Opening inventory of 824 and supply of 87 exceed the demand of 37, resulting in a projected surplus of 874. This inventory levels violates the maximum stock threshold of 367 units by 507 units, increasing holding risk.</t>
        </is>
      </c>
    </row>
    <row r="57">
      <c r="A57" t="inlineStr">
        <is>
          <t>P1</t>
        </is>
      </c>
      <c r="B57" t="inlineStr">
        <is>
          <t>C</t>
        </is>
      </c>
      <c r="C57" t="n">
        <v>11</v>
      </c>
      <c r="D57" t="inlineStr">
        <is>
          <t>100%</t>
        </is>
      </c>
      <c r="E57" t="inlineStr">
        <is>
          <t>High ESTN</t>
        </is>
      </c>
      <c r="F57" t="inlineStr">
        <is>
          <t>SKU_0001</t>
        </is>
      </c>
      <c r="G57" t="inlineStr">
        <is>
          <t>DC4</t>
        </is>
      </c>
      <c r="H57" t="inlineStr">
        <is>
          <t>Opening inventory of 357 and supply of 0 exceed the demand of 18, resulting in a projected surplus of 360. This inventory levels violates the maximum stock threshold of 143 units by 217 units, increasing holding risk.</t>
        </is>
      </c>
    </row>
    <row r="58">
      <c r="A58" t="inlineStr">
        <is>
          <t>P1</t>
        </is>
      </c>
      <c r="B58" t="inlineStr">
        <is>
          <t>C</t>
        </is>
      </c>
      <c r="C58" t="n">
        <v>12</v>
      </c>
      <c r="D58" t="inlineStr">
        <is>
          <t>100%</t>
        </is>
      </c>
      <c r="E58" t="inlineStr">
        <is>
          <t>High ESTN</t>
        </is>
      </c>
      <c r="F58" t="inlineStr">
        <is>
          <t>SKU_0001</t>
        </is>
      </c>
      <c r="G58" t="inlineStr">
        <is>
          <t>DC1</t>
        </is>
      </c>
      <c r="H58" t="inlineStr">
        <is>
          <t>Opening inventory of 1592 and supply of 0 exceed the demand of 60, resulting in a projected surplus of 1598. This inventory levels violates the maximum stock threshold of 558 units by 1040 units, increasing holding risk.</t>
        </is>
      </c>
    </row>
    <row r="59">
      <c r="A59" t="inlineStr">
        <is>
          <t>P1</t>
        </is>
      </c>
      <c r="B59" t="inlineStr">
        <is>
          <t>C</t>
        </is>
      </c>
      <c r="C59" t="n">
        <v>12</v>
      </c>
      <c r="D59" t="inlineStr">
        <is>
          <t>100%</t>
        </is>
      </c>
      <c r="E59" t="inlineStr">
        <is>
          <t>High ESTN</t>
        </is>
      </c>
      <c r="F59" t="inlineStr">
        <is>
          <t>SKU_0001</t>
        </is>
      </c>
      <c r="G59" t="inlineStr">
        <is>
          <t>DC2</t>
        </is>
      </c>
      <c r="H59" t="inlineStr">
        <is>
          <t>Opening inventory of 874 and supply of 130 exceed the demand of 51, resulting in a projected surplus of 953. This inventory levels violates the maximum stock threshold of 367 units by 586 units, increasing holding risk.</t>
        </is>
      </c>
    </row>
    <row r="60">
      <c r="A60" t="inlineStr">
        <is>
          <t>P1</t>
        </is>
      </c>
      <c r="B60" t="inlineStr">
        <is>
          <t>C</t>
        </is>
      </c>
      <c r="C60" t="n">
        <v>12</v>
      </c>
      <c r="D60" t="inlineStr">
        <is>
          <t>100%</t>
        </is>
      </c>
      <c r="E60" t="inlineStr">
        <is>
          <t>High ESTN</t>
        </is>
      </c>
      <c r="F60" t="inlineStr">
        <is>
          <t>SKU_0001</t>
        </is>
      </c>
      <c r="G60" t="inlineStr">
        <is>
          <t>DC4</t>
        </is>
      </c>
      <c r="H60" t="inlineStr">
        <is>
          <t>Opening inventory of 360 and supply of 0 exceed the demand of 22, resulting in a projected surplus of 338. This inventory levels violates the maximum stock threshold of 143 units by 195 units, increasing holding risk.</t>
        </is>
      </c>
    </row>
    <row r="61">
      <c r="A61" t="inlineStr">
        <is>
          <t>P1</t>
        </is>
      </c>
      <c r="B61" t="inlineStr">
        <is>
          <t>C</t>
        </is>
      </c>
      <c r="C61" t="n">
        <v>9</v>
      </c>
      <c r="D61" t="inlineStr">
        <is>
          <t>99%</t>
        </is>
      </c>
      <c r="E61" t="inlineStr">
        <is>
          <t>High ESTN</t>
        </is>
      </c>
      <c r="F61" t="inlineStr">
        <is>
          <t>SKU_0001</t>
        </is>
      </c>
      <c r="G61" t="inlineStr">
        <is>
          <t>DC1</t>
        </is>
      </c>
      <c r="H61" t="inlineStr">
        <is>
          <t>Opening inventory of 1161 and supply of 0 exceed the demand of 46, resulting in a projected surplus of 1115. This inventory levels violates the maximum stock threshold of 558 units by 557 units, increasing holding risk.</t>
        </is>
      </c>
    </row>
    <row r="62">
      <c r="A62" t="inlineStr">
        <is>
          <t>P1</t>
        </is>
      </c>
      <c r="B62" t="inlineStr">
        <is>
          <t>C</t>
        </is>
      </c>
      <c r="C62" t="n">
        <v>7</v>
      </c>
      <c r="D62" t="inlineStr">
        <is>
          <t>98%</t>
        </is>
      </c>
      <c r="E62" t="inlineStr">
        <is>
          <t>High ESTN</t>
        </is>
      </c>
      <c r="F62" t="inlineStr">
        <is>
          <t>SKU_0001</t>
        </is>
      </c>
      <c r="G62" t="inlineStr">
        <is>
          <t>DC1</t>
        </is>
      </c>
      <c r="H62" t="inlineStr">
        <is>
          <t>Opening inventory of 1084 and supply of 0 exceed the demand of 68, resulting in a projected surplus of 1107. This inventory levels violates the maximum stock threshold of 558 units by 549 units, increasing holding risk.</t>
        </is>
      </c>
    </row>
    <row r="63">
      <c r="A63" t="inlineStr">
        <is>
          <t>P1</t>
        </is>
      </c>
      <c r="B63" t="inlineStr">
        <is>
          <t>C</t>
        </is>
      </c>
      <c r="C63" t="n">
        <v>10</v>
      </c>
      <c r="D63" t="inlineStr">
        <is>
          <t>98%</t>
        </is>
      </c>
      <c r="E63" t="inlineStr">
        <is>
          <t>High ESTN</t>
        </is>
      </c>
      <c r="F63" t="inlineStr">
        <is>
          <t>SKU_0004</t>
        </is>
      </c>
      <c r="G63" t="inlineStr">
        <is>
          <t>DC2</t>
        </is>
      </c>
      <c r="H63" t="inlineStr">
        <is>
          <t>Opening inventory of 2121 and supply of 282 exceed the demand of 106, resulting in a projected surplus of 2297. This inventory levels violates the maximum stock threshold of 1159 units by 1138 units, increasing holding risk.</t>
        </is>
      </c>
    </row>
    <row r="64">
      <c r="A64" t="inlineStr">
        <is>
          <t>P1</t>
        </is>
      </c>
      <c r="B64" t="inlineStr">
        <is>
          <t>C</t>
        </is>
      </c>
      <c r="C64" t="n">
        <v>6</v>
      </c>
      <c r="D64" t="inlineStr">
        <is>
          <t>97%</t>
        </is>
      </c>
      <c r="E64" t="inlineStr">
        <is>
          <t>High ESTN</t>
        </is>
      </c>
      <c r="F64" t="inlineStr">
        <is>
          <t>SKU_0001</t>
        </is>
      </c>
      <c r="G64" t="inlineStr">
        <is>
          <t>DC4</t>
        </is>
      </c>
      <c r="H64" t="inlineStr">
        <is>
          <t>Opening inventory of 263 and supply of 0 exceed the demand of 15, resulting in a projected surplus of 283. This inventory levels violates the maximum stock threshold of 143 units by 140 units, increasing holding risk.</t>
        </is>
      </c>
    </row>
    <row r="65">
      <c r="A65" t="inlineStr">
        <is>
          <t>P1</t>
        </is>
      </c>
      <c r="B65" t="inlineStr">
        <is>
          <t>C</t>
        </is>
      </c>
      <c r="C65" t="n">
        <v>6</v>
      </c>
      <c r="D65" t="inlineStr">
        <is>
          <t>94%</t>
        </is>
      </c>
      <c r="E65" t="inlineStr">
        <is>
          <t>High ESTN</t>
        </is>
      </c>
      <c r="F65" t="inlineStr">
        <is>
          <t>SKU_0001</t>
        </is>
      </c>
      <c r="G65" t="inlineStr">
        <is>
          <t>DC1</t>
        </is>
      </c>
      <c r="H65" t="inlineStr">
        <is>
          <t>Opening inventory of 940 and supply of 0 exceed the demand of 49, resulting in a projected surplus of 1084. This inventory levels violates the maximum stock threshold of 558 units by 526 units, increasing holding risk.</t>
        </is>
      </c>
    </row>
    <row r="66">
      <c r="A66" t="inlineStr">
        <is>
          <t>P1</t>
        </is>
      </c>
      <c r="B66" t="inlineStr">
        <is>
          <t>C</t>
        </is>
      </c>
      <c r="C66" t="n">
        <v>12</v>
      </c>
      <c r="D66" t="inlineStr">
        <is>
          <t>93%</t>
        </is>
      </c>
      <c r="E66" t="inlineStr">
        <is>
          <t>High ESTN</t>
        </is>
      </c>
      <c r="F66" t="inlineStr">
        <is>
          <t>SKU_0004</t>
        </is>
      </c>
      <c r="G66" t="inlineStr">
        <is>
          <t>DC2</t>
        </is>
      </c>
      <c r="H66" t="inlineStr">
        <is>
          <t>Opening inventory of 2174 and supply of 0 exceed the demand of 134, resulting in a projected surplus of 2238. This inventory levels violates the maximum stock threshold of 1159 units by 1079 units, increasing holding risk.</t>
        </is>
      </c>
    </row>
    <row r="67">
      <c r="A67" t="inlineStr">
        <is>
          <t>P1</t>
        </is>
      </c>
      <c r="B67" t="inlineStr">
        <is>
          <t>C</t>
        </is>
      </c>
      <c r="C67" t="n">
        <v>11</v>
      </c>
      <c r="D67" t="inlineStr">
        <is>
          <t>87%</t>
        </is>
      </c>
      <c r="E67" t="inlineStr">
        <is>
          <t>High ESTN</t>
        </is>
      </c>
      <c r="F67" t="inlineStr">
        <is>
          <t>SKU_0004</t>
        </is>
      </c>
      <c r="G67" t="inlineStr">
        <is>
          <t>DC2</t>
        </is>
      </c>
      <c r="H67" t="inlineStr">
        <is>
          <t>Opening inventory of 2297 and supply of 0 exceed the demand of 123, resulting in a projected surplus of 2174. This inventory levels violates the maximum stock threshold of 1159 units by 1015 units, increasing holding risk.</t>
        </is>
      </c>
    </row>
    <row r="68">
      <c r="A68" t="inlineStr">
        <is>
          <t>P1</t>
        </is>
      </c>
      <c r="B68" t="inlineStr">
        <is>
          <t>C</t>
        </is>
      </c>
      <c r="C68" t="n">
        <v>5</v>
      </c>
      <c r="D68" t="inlineStr">
        <is>
          <t>83%</t>
        </is>
      </c>
      <c r="E68" t="inlineStr">
        <is>
          <t>High ESTN</t>
        </is>
      </c>
      <c r="F68" t="inlineStr">
        <is>
          <t>SKU_0001</t>
        </is>
      </c>
      <c r="G68" t="inlineStr">
        <is>
          <t>DC4</t>
        </is>
      </c>
      <c r="H68" t="inlineStr">
        <is>
          <t>Opening inventory of 235 and supply of 42 exceed the demand of 14, resulting in a projected surplus of 263. This inventory levels violates the maximum stock threshold of 143 units by 120 units, increasing holding risk.</t>
        </is>
      </c>
    </row>
    <row r="69">
      <c r="A69" t="inlineStr">
        <is>
          <t>P1</t>
        </is>
      </c>
      <c r="B69" t="inlineStr">
        <is>
          <t>C</t>
        </is>
      </c>
      <c r="C69" t="n">
        <v>9</v>
      </c>
      <c r="D69" t="inlineStr">
        <is>
          <t>83%</t>
        </is>
      </c>
      <c r="E69" t="inlineStr">
        <is>
          <t>High ESTN</t>
        </is>
      </c>
      <c r="F69" t="inlineStr">
        <is>
          <t>SKU_0004</t>
        </is>
      </c>
      <c r="G69" t="inlineStr">
        <is>
          <t>DC2</t>
        </is>
      </c>
      <c r="H69" t="inlineStr">
        <is>
          <t>Opening inventory of 1665 and supply of 606 exceed the demand of 150, resulting in a projected surplus of 2121. This inventory levels violates the maximum stock threshold of 1159 units by 962 units, increasing holding risk.</t>
        </is>
      </c>
    </row>
    <row r="70">
      <c r="A70" t="inlineStr">
        <is>
          <t>P1</t>
        </is>
      </c>
      <c r="B70" t="inlineStr">
        <is>
          <t>C</t>
        </is>
      </c>
      <c r="C70" t="n">
        <v>5</v>
      </c>
      <c r="D70" t="inlineStr">
        <is>
          <t>73%</t>
        </is>
      </c>
      <c r="E70" t="inlineStr">
        <is>
          <t>High ESTN</t>
        </is>
      </c>
      <c r="F70" t="inlineStr">
        <is>
          <t>SKU_0001</t>
        </is>
      </c>
      <c r="G70" t="inlineStr">
        <is>
          <t>DC2</t>
        </is>
      </c>
      <c r="H70" t="inlineStr">
        <is>
          <t>Opening inventory of 578 and supply of 0 exceed the demand of 52, resulting in a projected surplus of 635. This inventory levels violates the maximum stock threshold of 367 units by 268 units, increasing holding risk.</t>
        </is>
      </c>
    </row>
    <row r="71">
      <c r="A71" t="inlineStr">
        <is>
          <t>P1</t>
        </is>
      </c>
      <c r="B71" t="inlineStr">
        <is>
          <t>C</t>
        </is>
      </c>
      <c r="C71" t="n">
        <v>5</v>
      </c>
      <c r="D71" t="inlineStr">
        <is>
          <t>68%</t>
        </is>
      </c>
      <c r="E71" t="inlineStr">
        <is>
          <t>High ESTN</t>
        </is>
      </c>
      <c r="F71" t="inlineStr">
        <is>
          <t>SKU_0001</t>
        </is>
      </c>
      <c r="G71" t="inlineStr">
        <is>
          <t>DC1</t>
        </is>
      </c>
      <c r="H71" t="inlineStr">
        <is>
          <t>Opening inventory of 615 and supply of 401 exceed the demand of 76, resulting in a projected surplus of 940. This inventory levels violates the maximum stock threshold of 558 units by 382 units, increasing holding risk.</t>
        </is>
      </c>
    </row>
    <row r="72">
      <c r="A72" t="inlineStr">
        <is>
          <t>P1</t>
        </is>
      </c>
      <c r="B72" t="inlineStr">
        <is>
          <t>C</t>
        </is>
      </c>
      <c r="C72" t="n">
        <v>4</v>
      </c>
      <c r="D72" t="inlineStr">
        <is>
          <t>64%</t>
        </is>
      </c>
      <c r="E72" t="inlineStr">
        <is>
          <t>High ESTN</t>
        </is>
      </c>
      <c r="F72" t="inlineStr">
        <is>
          <t>SKU_0001</t>
        </is>
      </c>
      <c r="G72" t="inlineStr">
        <is>
          <t>DC4</t>
        </is>
      </c>
      <c r="H72" t="inlineStr">
        <is>
          <t>Opening inventory of 199 and supply of 48 exceed the demand of 12, resulting in a projected surplus of 235. This inventory levels violates the maximum stock threshold of 143 units by 92 units, increasing holding risk.</t>
        </is>
      </c>
    </row>
    <row r="73">
      <c r="A73" t="inlineStr">
        <is>
          <t>P1</t>
        </is>
      </c>
      <c r="B73" t="inlineStr">
        <is>
          <t>C</t>
        </is>
      </c>
      <c r="C73" t="n">
        <v>1</v>
      </c>
      <c r="D73" t="inlineStr">
        <is>
          <t>61%</t>
        </is>
      </c>
      <c r="E73" t="inlineStr">
        <is>
          <t>High MSTN</t>
        </is>
      </c>
      <c r="F73" t="inlineStr">
        <is>
          <t>SKU_0004</t>
        </is>
      </c>
      <c r="G73" t="inlineStr">
        <is>
          <t>F1</t>
        </is>
      </c>
      <c r="H73" t="inlineStr">
        <is>
          <t>Opening inventory of 1662 and supply of 0 are sufficient to cover the demand of 1062. However, the projected closing inventory of 600 falls 943 units below the target safety stock requirement of 1543, compromising the critical service level buffer.</t>
        </is>
      </c>
    </row>
    <row r="74">
      <c r="A74" t="inlineStr">
        <is>
          <t>P1</t>
        </is>
      </c>
      <c r="B74" t="inlineStr">
        <is>
          <t>C</t>
        </is>
      </c>
      <c r="C74" t="n">
        <v>6</v>
      </c>
      <c r="D74" t="inlineStr">
        <is>
          <t>60%</t>
        </is>
      </c>
      <c r="E74" t="inlineStr">
        <is>
          <t>High ESTN</t>
        </is>
      </c>
      <c r="F74" t="inlineStr">
        <is>
          <t>SKU_0001</t>
        </is>
      </c>
      <c r="G74" t="inlineStr">
        <is>
          <t>DC2</t>
        </is>
      </c>
      <c r="H74" t="inlineStr">
        <is>
          <t>Opening inventory of 635 and supply of 0 exceed the demand of 47, resulting in a projected surplus of 588. This inventory levels violates the maximum stock threshold of 367 units by 221 units, increasing holding risk.</t>
        </is>
      </c>
    </row>
    <row r="75">
      <c r="A75" t="inlineStr">
        <is>
          <t>P1</t>
        </is>
      </c>
      <c r="B75" t="inlineStr">
        <is>
          <t>C</t>
        </is>
      </c>
      <c r="C75" t="n">
        <v>3</v>
      </c>
      <c r="D75" t="inlineStr">
        <is>
          <t>57%</t>
        </is>
      </c>
      <c r="E75" t="inlineStr">
        <is>
          <t>High MSTN</t>
        </is>
      </c>
      <c r="F75" t="inlineStr">
        <is>
          <t>SKU_0004</t>
        </is>
      </c>
      <c r="G75" t="inlineStr">
        <is>
          <t>DC4</t>
        </is>
      </c>
      <c r="H75" t="inlineStr">
        <is>
          <t>Opening inventory of 298 and supply of 0 are sufficient to cover the demand of 101. However, the projected closing inventory of 197 falls 263 units below the target safety stock requirement of 460, compromising the critical service level buffer.</t>
        </is>
      </c>
    </row>
    <row r="76">
      <c r="A76" t="inlineStr">
        <is>
          <t>P1</t>
        </is>
      </c>
      <c r="B76" t="inlineStr">
        <is>
          <t>C</t>
        </is>
      </c>
      <c r="C76" t="n">
        <v>4</v>
      </c>
      <c r="D76" t="inlineStr">
        <is>
          <t>57%</t>
        </is>
      </c>
      <c r="E76" t="inlineStr">
        <is>
          <t>High ESTN</t>
        </is>
      </c>
      <c r="F76" t="inlineStr">
        <is>
          <t>SKU_0001</t>
        </is>
      </c>
      <c r="G76" t="inlineStr">
        <is>
          <t>DC2</t>
        </is>
      </c>
      <c r="H76" t="inlineStr">
        <is>
          <t>Opening inventory of 321 and supply of 311 exceed the demand of 54, resulting in a projected surplus of 578. This inventory levels violates the maximum stock threshold of 367 units by 211 units, increasing holding risk.</t>
        </is>
      </c>
    </row>
    <row r="77">
      <c r="A77" t="inlineStr">
        <is>
          <t>P1</t>
        </is>
      </c>
      <c r="B77" t="inlineStr">
        <is>
          <t>C</t>
        </is>
      </c>
      <c r="C77" t="n">
        <v>1</v>
      </c>
      <c r="D77" t="inlineStr">
        <is>
          <t>55%</t>
        </is>
      </c>
      <c r="E77" t="inlineStr">
        <is>
          <t>High MSTN</t>
        </is>
      </c>
      <c r="F77" t="inlineStr">
        <is>
          <t>SKU_0004</t>
        </is>
      </c>
      <c r="G77" t="inlineStr">
        <is>
          <t>DC4</t>
        </is>
      </c>
      <c r="H77" t="inlineStr">
        <is>
          <t>Opening inventory of 321 and supply of 0 are sufficient to cover the demand of 115. However, the projected closing inventory of 206 falls 254 units below the target safety stock requirement of 460, compromising the critical service level buffer.</t>
        </is>
      </c>
    </row>
    <row r="78">
      <c r="A78" t="inlineStr">
        <is>
          <t>P1</t>
        </is>
      </c>
      <c r="B78" t="inlineStr">
        <is>
          <t>C</t>
        </is>
      </c>
      <c r="C78" t="n">
        <v>2</v>
      </c>
      <c r="D78" t="inlineStr">
        <is>
          <t>54%</t>
        </is>
      </c>
      <c r="E78" t="inlineStr">
        <is>
          <t>High ESTN</t>
        </is>
      </c>
      <c r="F78" t="inlineStr">
        <is>
          <t>SKU_0001</t>
        </is>
      </c>
      <c r="G78" t="inlineStr">
        <is>
          <t>DC4</t>
        </is>
      </c>
      <c r="H78" t="inlineStr">
        <is>
          <t>Opening inventory of 195 and supply of 0 exceed the demand of 17, resulting in a projected surplus of 221. This inventory levels violates the maximum stock threshold of 143 units by 78 units, increasing holding risk.</t>
        </is>
      </c>
    </row>
    <row r="79">
      <c r="A79" t="inlineStr">
        <is>
          <t>P1</t>
        </is>
      </c>
      <c r="B79" t="inlineStr">
        <is>
          <t>C</t>
        </is>
      </c>
      <c r="C79" t="n">
        <v>8</v>
      </c>
      <c r="D79" t="inlineStr">
        <is>
          <t>52%</t>
        </is>
      </c>
      <c r="E79" t="inlineStr">
        <is>
          <t>High ESTN</t>
        </is>
      </c>
      <c r="F79" t="inlineStr">
        <is>
          <t>SKU_0001</t>
        </is>
      </c>
      <c r="G79" t="inlineStr">
        <is>
          <t>DC2</t>
        </is>
      </c>
      <c r="H79" t="inlineStr">
        <is>
          <t>Opening inventory of 544 and supply of 74 exceed the demand of 59, resulting in a projected surplus of 559. This inventory levels violates the maximum stock threshold of 367 units by 192 units, increasing holding risk.</t>
        </is>
      </c>
    </row>
    <row r="80">
      <c r="A80" t="inlineStr">
        <is>
          <t>P1</t>
        </is>
      </c>
      <c r="B80" t="inlineStr">
        <is>
          <t>C</t>
        </is>
      </c>
      <c r="C80" t="n">
        <v>7</v>
      </c>
      <c r="D80" t="inlineStr">
        <is>
          <t>48%</t>
        </is>
      </c>
      <c r="E80" t="inlineStr">
        <is>
          <t>High ESTN</t>
        </is>
      </c>
      <c r="F80" t="inlineStr">
        <is>
          <t>SKU_0001</t>
        </is>
      </c>
      <c r="G80" t="inlineStr">
        <is>
          <t>DC2</t>
        </is>
      </c>
      <c r="H80" t="inlineStr">
        <is>
          <t>Opening inventory of 588 and supply of 0 exceed the demand of 44, resulting in a projected surplus of 544. This inventory levels violates the maximum stock threshold of 367 units by 177 units, increasing holding risk.</t>
        </is>
      </c>
    </row>
    <row r="81">
      <c r="A81" t="inlineStr">
        <is>
          <t>P1</t>
        </is>
      </c>
      <c r="B81" t="inlineStr">
        <is>
          <t>C</t>
        </is>
      </c>
      <c r="C81" t="n">
        <v>8</v>
      </c>
      <c r="D81" t="inlineStr">
        <is>
          <t>43%</t>
        </is>
      </c>
      <c r="E81" t="inlineStr">
        <is>
          <t>High ESTN</t>
        </is>
      </c>
      <c r="F81" t="inlineStr">
        <is>
          <t>SKU_0004</t>
        </is>
      </c>
      <c r="G81" t="inlineStr">
        <is>
          <t>DC2</t>
        </is>
      </c>
      <c r="H81" t="inlineStr">
        <is>
          <t>Opening inventory of 1494 and supply of 294 exceed the demand of 123, resulting in a projected surplus of 1665. This inventory levels violates the maximum stock threshold of 1159 units by 506 units, increasing holding risk.</t>
        </is>
      </c>
    </row>
    <row r="82">
      <c r="A82" t="inlineStr">
        <is>
          <t>P1</t>
        </is>
      </c>
      <c r="B82" t="inlineStr">
        <is>
          <t>C</t>
        </is>
      </c>
      <c r="C82" t="n">
        <v>3</v>
      </c>
      <c r="D82" t="inlineStr">
        <is>
          <t>39%</t>
        </is>
      </c>
      <c r="E82" t="inlineStr">
        <is>
          <t>High ESTN</t>
        </is>
      </c>
      <c r="F82" t="inlineStr">
        <is>
          <t>SKU_0001</t>
        </is>
      </c>
      <c r="G82" t="inlineStr">
        <is>
          <t>DC4</t>
        </is>
      </c>
      <c r="H82" t="inlineStr">
        <is>
          <t>Opening inventory of 221 and supply of 0 exceed the demand of 22, resulting in a projected surplus of 199. This inventory levels violates the maximum stock threshold of 143 units by 56 units, increasing holding risk.</t>
        </is>
      </c>
    </row>
    <row r="83">
      <c r="A83" t="inlineStr">
        <is>
          <t>P1</t>
        </is>
      </c>
      <c r="B83" t="inlineStr">
        <is>
          <t>C</t>
        </is>
      </c>
      <c r="C83" t="n">
        <v>1</v>
      </c>
      <c r="D83" t="inlineStr">
        <is>
          <t>36%</t>
        </is>
      </c>
      <c r="E83" t="inlineStr">
        <is>
          <t>High ESTN</t>
        </is>
      </c>
      <c r="F83" t="inlineStr">
        <is>
          <t>SKU_0001</t>
        </is>
      </c>
      <c r="G83" t="inlineStr">
        <is>
          <t>DC4</t>
        </is>
      </c>
      <c r="H83" t="inlineStr">
        <is>
          <t>Opening inventory of 169 and supply of 44 exceed the demand of 18, resulting in a projected surplus of 195. This inventory levels violates the maximum stock threshold of 143 units by 52 units, increasing holding risk.</t>
        </is>
      </c>
    </row>
    <row r="84">
      <c r="A84" t="inlineStr">
        <is>
          <t>P1</t>
        </is>
      </c>
      <c r="B84" t="inlineStr">
        <is>
          <t>C</t>
        </is>
      </c>
      <c r="C84" t="n">
        <v>2</v>
      </c>
      <c r="D84" t="inlineStr">
        <is>
          <t>35%</t>
        </is>
      </c>
      <c r="E84" t="inlineStr">
        <is>
          <t>High MSTN</t>
        </is>
      </c>
      <c r="F84" t="inlineStr">
        <is>
          <t>SKU_0004</t>
        </is>
      </c>
      <c r="G84" t="inlineStr">
        <is>
          <t>DC4</t>
        </is>
      </c>
      <c r="H84" t="inlineStr">
        <is>
          <t>Opening inventory of 206 and supply of 0 are sufficient to cover the demand of 116. However, the projected closing inventory of 298 falls 162 units below the target safety stock requirement of 460, compromising the critical service level buffer.</t>
        </is>
      </c>
    </row>
    <row r="85">
      <c r="A85" t="inlineStr">
        <is>
          <t>P1</t>
        </is>
      </c>
      <c r="B85" t="inlineStr">
        <is>
          <t>C</t>
        </is>
      </c>
      <c r="C85" t="n">
        <v>2</v>
      </c>
      <c r="D85" t="inlineStr">
        <is>
          <t>34%</t>
        </is>
      </c>
      <c r="E85" t="inlineStr">
        <is>
          <t>High MSTN</t>
        </is>
      </c>
      <c r="F85" t="inlineStr">
        <is>
          <t>SKU_0004</t>
        </is>
      </c>
      <c r="G85" t="inlineStr">
        <is>
          <t>F1</t>
        </is>
      </c>
      <c r="H85" t="inlineStr">
        <is>
          <t>Opening inventory of 600 and supply of 0 are sufficient to cover the demand of 0. However, the projected closing inventory of 1009 falls 534 units below the target safety stock requirement of 1543, compromising the critical service level buffer.</t>
        </is>
      </c>
    </row>
    <row r="86">
      <c r="A86" t="inlineStr">
        <is>
          <t>P1</t>
        </is>
      </c>
      <c r="B86" t="inlineStr">
        <is>
          <t>C</t>
        </is>
      </c>
      <c r="C86" t="n">
        <v>4</v>
      </c>
      <c r="D86" t="inlineStr">
        <is>
          <t>31%</t>
        </is>
      </c>
      <c r="E86" t="inlineStr">
        <is>
          <t>High ESTN</t>
        </is>
      </c>
      <c r="F86" t="inlineStr">
        <is>
          <t>SKU_0004</t>
        </is>
      </c>
      <c r="G86" t="inlineStr">
        <is>
          <t>DC2</t>
        </is>
      </c>
      <c r="H86" t="inlineStr">
        <is>
          <t>Opening inventory of 1276 and supply of 333 exceed the demand of 90, resulting in a projected surplus of 1519. This inventory levels violates the maximum stock threshold of 1159 units by 360 units, increasing holding risk.</t>
        </is>
      </c>
    </row>
    <row r="87">
      <c r="A87" t="inlineStr">
        <is>
          <t>P1</t>
        </is>
      </c>
      <c r="B87" t="inlineStr">
        <is>
          <t>C</t>
        </is>
      </c>
      <c r="C87" t="n">
        <v>7</v>
      </c>
      <c r="D87" t="inlineStr">
        <is>
          <t>28%</t>
        </is>
      </c>
      <c r="E87" t="inlineStr">
        <is>
          <t>High ESTN</t>
        </is>
      </c>
      <c r="F87" t="inlineStr">
        <is>
          <t>SKU_0004</t>
        </is>
      </c>
      <c r="G87" t="inlineStr">
        <is>
          <t>DC2</t>
        </is>
      </c>
      <c r="H87" t="inlineStr">
        <is>
          <t>Opening inventory of 1288 and supply of 0 exceed the demand of 145, resulting in a projected surplus of 1494. This inventory levels violates the maximum stock threshold of 1159 units by 335 units, increasing holding risk.</t>
        </is>
      </c>
    </row>
    <row r="88">
      <c r="A88" t="inlineStr">
        <is>
          <t>P1</t>
        </is>
      </c>
      <c r="B88" t="inlineStr">
        <is>
          <t>C</t>
        </is>
      </c>
      <c r="C88" t="n">
        <v>5</v>
      </c>
      <c r="D88" t="inlineStr">
        <is>
          <t>22%</t>
        </is>
      </c>
      <c r="E88" t="inlineStr">
        <is>
          <t>High ESTN</t>
        </is>
      </c>
      <c r="F88" t="inlineStr">
        <is>
          <t>SKU_0004</t>
        </is>
      </c>
      <c r="G88" t="inlineStr">
        <is>
          <t>DC2</t>
        </is>
      </c>
      <c r="H88" t="inlineStr">
        <is>
          <t>Opening inventory of 1519 and supply of 0 exceed the demand of 101, resulting in a projected surplus of 1418. This inventory levels violates the maximum stock threshold of 1159 units by 259 units, increasing holding risk.</t>
        </is>
      </c>
    </row>
    <row r="89">
      <c r="A89" t="inlineStr">
        <is>
          <t>P1</t>
        </is>
      </c>
      <c r="B89" t="inlineStr">
        <is>
          <t>C</t>
        </is>
      </c>
      <c r="C89" t="n">
        <v>2</v>
      </c>
      <c r="D89" t="inlineStr">
        <is>
          <t>21%</t>
        </is>
      </c>
      <c r="E89" t="inlineStr">
        <is>
          <t>High ESTN</t>
        </is>
      </c>
      <c r="F89" t="inlineStr">
        <is>
          <t>SKU_0004</t>
        </is>
      </c>
      <c r="G89" t="inlineStr">
        <is>
          <t>DC2</t>
        </is>
      </c>
      <c r="H89" t="inlineStr">
        <is>
          <t>Opening inventory of 873 and supply of 651 exceed the demand of 111, resulting in a projected surplus of 1413. This inventory levels violates the maximum stock threshold of 1159 units by 254 units, increasing holding risk.</t>
        </is>
      </c>
    </row>
    <row r="90">
      <c r="A90" t="inlineStr">
        <is>
          <t>P2</t>
        </is>
      </c>
      <c r="B90" t="inlineStr">
        <is>
          <t>A</t>
        </is>
      </c>
      <c r="C90" t="n">
        <v>3</v>
      </c>
      <c r="D90" t="inlineStr">
        <is>
          <t>98%</t>
        </is>
      </c>
      <c r="E90" t="inlineStr">
        <is>
          <t>High MSTN</t>
        </is>
      </c>
      <c r="F90" t="inlineStr">
        <is>
          <t>SKU_0003</t>
        </is>
      </c>
      <c r="G90" t="inlineStr">
        <is>
          <t>DC1</t>
        </is>
      </c>
      <c r="H90" t="inlineStr">
        <is>
          <t>Opening inventory of 57 and supply of 0 are sufficient to cover the demand of 52. However, the projected closing inventory of 5 falls 286 units below the target safety stock requirement of 291, compromising the critical service level buffer.</t>
        </is>
      </c>
    </row>
    <row r="91">
      <c r="A91" t="inlineStr">
        <is>
          <t>P2</t>
        </is>
      </c>
      <c r="B91" t="inlineStr">
        <is>
          <t>A</t>
        </is>
      </c>
      <c r="C91" t="n">
        <v>8</v>
      </c>
      <c r="D91" t="inlineStr">
        <is>
          <t>89%</t>
        </is>
      </c>
      <c r="E91" t="inlineStr">
        <is>
          <t>High MSTN</t>
        </is>
      </c>
      <c r="F91" t="inlineStr">
        <is>
          <t>SKU_0002</t>
        </is>
      </c>
      <c r="G91" t="inlineStr">
        <is>
          <t>DC4</t>
        </is>
      </c>
      <c r="H91" t="inlineStr">
        <is>
          <t>Opening inventory of 172 and supply of 0 are sufficient to cover the demand of 123. However, the projected closing inventory of 49 falls 409 units below the target safety stock requirement of 458, compromising the critical service level buffer.</t>
        </is>
      </c>
    </row>
    <row r="92">
      <c r="A92" t="inlineStr">
        <is>
          <t>P2</t>
        </is>
      </c>
      <c r="B92" t="inlineStr">
        <is>
          <t>A</t>
        </is>
      </c>
      <c r="C92" t="n">
        <v>4</v>
      </c>
      <c r="D92" t="inlineStr">
        <is>
          <t>67%</t>
        </is>
      </c>
      <c r="E92" t="inlineStr">
        <is>
          <t>High MSTN</t>
        </is>
      </c>
      <c r="F92" t="inlineStr">
        <is>
          <t>SKU_0003</t>
        </is>
      </c>
      <c r="G92" t="inlineStr">
        <is>
          <t>DC1</t>
        </is>
      </c>
      <c r="H92" t="inlineStr">
        <is>
          <t>Opening inventory of 5 and supply of 0 are insufficient to cover the demand of 80, leading to a projected stockout of 75 units and a breach of the 291 unit safety stock target by 366 units.</t>
        </is>
      </c>
    </row>
    <row r="93">
      <c r="A93" t="inlineStr">
        <is>
          <t>P2</t>
        </is>
      </c>
      <c r="B93" t="inlineStr">
        <is>
          <t>A</t>
        </is>
      </c>
      <c r="C93" t="n">
        <v>11</v>
      </c>
      <c r="D93" t="inlineStr">
        <is>
          <t>67%</t>
        </is>
      </c>
      <c r="E93" t="inlineStr">
        <is>
          <t>High MSTN</t>
        </is>
      </c>
      <c r="F93" t="inlineStr">
        <is>
          <t>SKU_0002</t>
        </is>
      </c>
      <c r="G93" t="inlineStr">
        <is>
          <t>DC4</t>
        </is>
      </c>
      <c r="H93" t="inlineStr">
        <is>
          <t>Opening inventory of 271 and supply of 0 are sufficient to cover the demand of 124. However, the projected closing inventory of 147 falls 311 units below the target safety stock requirement of 458, compromising the critical service level buffer.</t>
        </is>
      </c>
    </row>
    <row r="94">
      <c r="A94" t="inlineStr">
        <is>
          <t>P2</t>
        </is>
      </c>
      <c r="B94" t="inlineStr">
        <is>
          <t>A</t>
        </is>
      </c>
      <c r="C94" t="n">
        <v>5</v>
      </c>
      <c r="D94" t="inlineStr">
        <is>
          <t>64%</t>
        </is>
      </c>
      <c r="E94" t="inlineStr">
        <is>
          <t>High MSTN</t>
        </is>
      </c>
      <c r="F94" t="inlineStr">
        <is>
          <t>SKU_0002</t>
        </is>
      </c>
      <c r="G94" t="inlineStr">
        <is>
          <t>DC4</t>
        </is>
      </c>
      <c r="H94" t="inlineStr">
        <is>
          <t>Opening inventory of 0 and supply of 334 are sufficient to cover the demand of 140. However, the projected closing inventory of 164 falls 294 units below the target safety stock requirement of 458, compromising the critical service level buffer.</t>
        </is>
      </c>
    </row>
    <row r="95">
      <c r="A95" t="inlineStr">
        <is>
          <t>P2</t>
        </is>
      </c>
      <c r="B95" t="inlineStr">
        <is>
          <t>A</t>
        </is>
      </c>
      <c r="C95" t="n">
        <v>7</v>
      </c>
      <c r="D95" t="inlineStr">
        <is>
          <t>62%</t>
        </is>
      </c>
      <c r="E95" t="inlineStr">
        <is>
          <t>High MSTN</t>
        </is>
      </c>
      <c r="F95" t="inlineStr">
        <is>
          <t>SKU_0002</t>
        </is>
      </c>
      <c r="G95" t="inlineStr">
        <is>
          <t>DC4</t>
        </is>
      </c>
      <c r="H95" t="inlineStr">
        <is>
          <t>Opening inventory of 328 and supply of 0 are sufficient to cover the demand of 156. However, the projected closing inventory of 172 falls 286 units below the target safety stock requirement of 458, compromising the critical service level buffer.</t>
        </is>
      </c>
    </row>
    <row r="96">
      <c r="A96" t="inlineStr">
        <is>
          <t>P2</t>
        </is>
      </c>
      <c r="B96" t="inlineStr">
        <is>
          <t>A</t>
        </is>
      </c>
      <c r="C96" t="n">
        <v>9</v>
      </c>
      <c r="D96" t="inlineStr">
        <is>
          <t>60%</t>
        </is>
      </c>
      <c r="E96" t="inlineStr">
        <is>
          <t>High MSTN</t>
        </is>
      </c>
      <c r="F96" t="inlineStr">
        <is>
          <t>SKU_0002</t>
        </is>
      </c>
      <c r="G96" t="inlineStr">
        <is>
          <t>DC4</t>
        </is>
      </c>
      <c r="H96" t="inlineStr">
        <is>
          <t>Opening inventory of 49 and supply of 239 are sufficient to cover the demand of 108. However, the projected closing inventory of 180 falls 278 units below the target safety stock requirement of 458, compromising the critical service level buffer.</t>
        </is>
      </c>
    </row>
    <row r="97">
      <c r="A97" t="inlineStr">
        <is>
          <t>P2</t>
        </is>
      </c>
      <c r="B97" t="inlineStr">
        <is>
          <t>A</t>
        </is>
      </c>
      <c r="C97" t="n">
        <v>10</v>
      </c>
      <c r="D97" t="inlineStr">
        <is>
          <t>40%</t>
        </is>
      </c>
      <c r="E97" t="inlineStr">
        <is>
          <t>High MSTN</t>
        </is>
      </c>
      <c r="F97" t="inlineStr">
        <is>
          <t>SKU_0002</t>
        </is>
      </c>
      <c r="G97" t="inlineStr">
        <is>
          <t>DC4</t>
        </is>
      </c>
      <c r="H97" t="inlineStr">
        <is>
          <t>Opening inventory of 180 and supply of 0 are sufficient to cover the demand of 141. However, the projected closing inventory of 271 falls 187 units below the target safety stock requirement of 458, compromising the critical service level buffer.</t>
        </is>
      </c>
    </row>
    <row r="98">
      <c r="A98" t="inlineStr">
        <is>
          <t>P2</t>
        </is>
      </c>
      <c r="B98" t="inlineStr">
        <is>
          <t>A</t>
        </is>
      </c>
      <c r="C98" t="n">
        <v>6</v>
      </c>
      <c r="D98" t="inlineStr">
        <is>
          <t>28%</t>
        </is>
      </c>
      <c r="E98" t="inlineStr">
        <is>
          <t>High MSTN</t>
        </is>
      </c>
      <c r="F98" t="inlineStr">
        <is>
          <t>SKU_0002</t>
        </is>
      </c>
      <c r="G98" t="inlineStr">
        <is>
          <t>DC4</t>
        </is>
      </c>
      <c r="H98" t="inlineStr">
        <is>
          <t>Opening inventory of 164 and supply of 0 are sufficient to cover the demand of 163. However, the projected closing inventory of 328 falls 130 units below the target safety stock requirement of 458, compromising the critical service level buffer.</t>
        </is>
      </c>
    </row>
    <row r="99">
      <c r="A99" t="inlineStr">
        <is>
          <t>P2</t>
        </is>
      </c>
      <c r="B99" t="inlineStr">
        <is>
          <t>A</t>
        </is>
      </c>
      <c r="C99" t="n">
        <v>2</v>
      </c>
      <c r="D99" t="inlineStr">
        <is>
          <t>12%</t>
        </is>
      </c>
      <c r="E99" t="inlineStr">
        <is>
          <t>Medium MSTN</t>
        </is>
      </c>
      <c r="F99" t="inlineStr">
        <is>
          <t>SKU_0003</t>
        </is>
      </c>
      <c r="G99" t="inlineStr">
        <is>
          <t>DC4</t>
        </is>
      </c>
      <c r="H99" t="inlineStr">
        <is>
          <t>Opening inventory of 556 and supply of 0 are sufficient to cover the demand of 150. However, the projected closing inventory of 406 falls 60 units below the target safety stock requirement of 466, compromising the critical service level buffer.</t>
        </is>
      </c>
    </row>
    <row r="100">
      <c r="A100" t="inlineStr">
        <is>
          <t>P2</t>
        </is>
      </c>
      <c r="B100" t="inlineStr">
        <is>
          <t>A</t>
        </is>
      </c>
      <c r="C100" t="n">
        <v>3</v>
      </c>
      <c r="D100" t="inlineStr">
        <is>
          <t>7%</t>
        </is>
      </c>
      <c r="E100" t="inlineStr">
        <is>
          <t>Low ESTN</t>
        </is>
      </c>
      <c r="F100" t="inlineStr">
        <is>
          <t>SKU_0003</t>
        </is>
      </c>
      <c r="G100" t="inlineStr">
        <is>
          <t>DC5</t>
        </is>
      </c>
      <c r="H100" t="inlineStr">
        <is>
          <t>Opening inventory of 1329 and supply of 0 exceed the demand of 81, resulting in a projected surplus of 1442. This inventory levels violates the maximum stock threshold of 1342 units by 100 units, increasing holding risk.</t>
        </is>
      </c>
    </row>
    <row r="101">
      <c r="A101" t="inlineStr">
        <is>
          <t>P2</t>
        </is>
      </c>
      <c r="B101" t="inlineStr">
        <is>
          <t>A</t>
        </is>
      </c>
      <c r="C101" t="n">
        <v>1</v>
      </c>
      <c r="D101" t="inlineStr">
        <is>
          <t>6%</t>
        </is>
      </c>
      <c r="E101" t="inlineStr">
        <is>
          <t>Low ESTN</t>
        </is>
      </c>
      <c r="F101" t="inlineStr">
        <is>
          <t>SKU_0003</t>
        </is>
      </c>
      <c r="G101" t="inlineStr">
        <is>
          <t>DC5</t>
        </is>
      </c>
      <c r="H101" t="inlineStr">
        <is>
          <t>Opening inventory of 1339 and supply of 0 exceed the demand of 59, resulting in a projected surplus of 1428. This inventory levels violates the maximum stock threshold of 1342 units by 86 units, increasing holding risk.</t>
        </is>
      </c>
    </row>
    <row r="102">
      <c r="A102" t="inlineStr">
        <is>
          <t>P2</t>
        </is>
      </c>
      <c r="B102" t="inlineStr">
        <is>
          <t>A</t>
        </is>
      </c>
      <c r="C102" t="n">
        <v>9</v>
      </c>
      <c r="D102" t="inlineStr">
        <is>
          <t>5%</t>
        </is>
      </c>
      <c r="E102" t="inlineStr">
        <is>
          <t>Low ESTN</t>
        </is>
      </c>
      <c r="F102" t="inlineStr">
        <is>
          <t>SKU_0002</t>
        </is>
      </c>
      <c r="G102" t="inlineStr">
        <is>
          <t>DC1</t>
        </is>
      </c>
      <c r="H102" t="inlineStr">
        <is>
          <t>Opening inventory of 2124 and supply of 0 exceed the demand of 117, resulting in a projected surplus of 2007. This inventory levels violates the maximum stock threshold of 1910 units by 97 units, increasing holding risk.</t>
        </is>
      </c>
    </row>
    <row r="103">
      <c r="A103" t="inlineStr">
        <is>
          <t>P2</t>
        </is>
      </c>
      <c r="B103" t="inlineStr">
        <is>
          <t>A</t>
        </is>
      </c>
      <c r="C103" t="n">
        <v>3</v>
      </c>
      <c r="D103" t="inlineStr">
        <is>
          <t>2%</t>
        </is>
      </c>
      <c r="E103" t="inlineStr">
        <is>
          <t>Low MSTN</t>
        </is>
      </c>
      <c r="F103" t="inlineStr">
        <is>
          <t>SKU_0002</t>
        </is>
      </c>
      <c r="G103" t="inlineStr">
        <is>
          <t>F1</t>
        </is>
      </c>
      <c r="H103" t="inlineStr">
        <is>
          <t>Opening inventory of 1732 and supply of 0 are sufficient to cover the demand of 737. However, the projected closing inventory of 1535 falls 35 units below the target safety stock requirement of 1570, compromising the critical service level buffer.</t>
        </is>
      </c>
    </row>
    <row r="104">
      <c r="A104" t="inlineStr">
        <is>
          <t>P2</t>
        </is>
      </c>
      <c r="B104" t="inlineStr">
        <is>
          <t>B</t>
        </is>
      </c>
      <c r="C104" t="n">
        <v>7</v>
      </c>
      <c r="D104" t="inlineStr">
        <is>
          <t>46%</t>
        </is>
      </c>
      <c r="E104" t="inlineStr">
        <is>
          <t>High ESTN</t>
        </is>
      </c>
      <c r="F104" t="inlineStr">
        <is>
          <t>SKU_0005</t>
        </is>
      </c>
      <c r="G104" t="inlineStr">
        <is>
          <t>DC5</t>
        </is>
      </c>
      <c r="H104" t="inlineStr">
        <is>
          <t>Opening inventory of 1835 and supply of 0 exceed the demand of 118, resulting in a projected surplus of 2026. This inventory levels violates the maximum stock threshold of 1382 units by 644 units, increasing holding risk.</t>
        </is>
      </c>
    </row>
    <row r="105">
      <c r="A105" t="inlineStr">
        <is>
          <t>P2</t>
        </is>
      </c>
      <c r="B105" t="inlineStr">
        <is>
          <t>B</t>
        </is>
      </c>
      <c r="C105" t="n">
        <v>9</v>
      </c>
      <c r="D105" t="inlineStr">
        <is>
          <t>38%</t>
        </is>
      </c>
      <c r="E105" t="inlineStr">
        <is>
          <t>High ESTN</t>
        </is>
      </c>
      <c r="F105" t="inlineStr">
        <is>
          <t>SKU_0005</t>
        </is>
      </c>
      <c r="G105" t="inlineStr">
        <is>
          <t>DC5</t>
        </is>
      </c>
      <c r="H105" t="inlineStr">
        <is>
          <t>Opening inventory of 1901 and supply of 0 exceed the demand of 112, resulting in a projected surplus of 1909. This inventory levels violates the maximum stock threshold of 1382 units by 527 units, increasing holding risk.</t>
        </is>
      </c>
    </row>
    <row r="106">
      <c r="A106" t="inlineStr">
        <is>
          <t>P2</t>
        </is>
      </c>
      <c r="B106" t="inlineStr">
        <is>
          <t>B</t>
        </is>
      </c>
      <c r="C106" t="n">
        <v>8</v>
      </c>
      <c r="D106" t="inlineStr">
        <is>
          <t>37%</t>
        </is>
      </c>
      <c r="E106" t="inlineStr">
        <is>
          <t>High ESTN</t>
        </is>
      </c>
      <c r="F106" t="inlineStr">
        <is>
          <t>SKU_0005</t>
        </is>
      </c>
      <c r="G106" t="inlineStr">
        <is>
          <t>DC5</t>
        </is>
      </c>
      <c r="H106" t="inlineStr">
        <is>
          <t>Opening inventory of 2026 and supply of 0 exceed the demand of 125, resulting in a projected surplus of 1901. This inventory levels violates the maximum stock threshold of 1382 units by 519 units, increasing holding risk.</t>
        </is>
      </c>
    </row>
    <row r="107">
      <c r="A107" t="inlineStr">
        <is>
          <t>P2</t>
        </is>
      </c>
      <c r="B107" t="inlineStr">
        <is>
          <t>B</t>
        </is>
      </c>
      <c r="C107" t="n">
        <v>6</v>
      </c>
      <c r="D107" t="inlineStr">
        <is>
          <t>32%</t>
        </is>
      </c>
      <c r="E107" t="inlineStr">
        <is>
          <t>High ESTN</t>
        </is>
      </c>
      <c r="F107" t="inlineStr">
        <is>
          <t>SKU_0005</t>
        </is>
      </c>
      <c r="G107" t="inlineStr">
        <is>
          <t>DC5</t>
        </is>
      </c>
      <c r="H107" t="inlineStr">
        <is>
          <t>Opening inventory of 1330 and supply of 616 exceed the demand of 111, resulting in a projected surplus of 1835. This inventory levels violates the maximum stock threshold of 1382 units by 453 units, increasing holding risk.</t>
        </is>
      </c>
    </row>
    <row r="108">
      <c r="A108" t="inlineStr">
        <is>
          <t>P2</t>
        </is>
      </c>
      <c r="B108" t="inlineStr">
        <is>
          <t>B</t>
        </is>
      </c>
      <c r="C108" t="n">
        <v>10</v>
      </c>
      <c r="D108" t="inlineStr">
        <is>
          <t>31%</t>
        </is>
      </c>
      <c r="E108" t="inlineStr">
        <is>
          <t>High ESTN</t>
        </is>
      </c>
      <c r="F108" t="inlineStr">
        <is>
          <t>SKU_0005</t>
        </is>
      </c>
      <c r="G108" t="inlineStr">
        <is>
          <t>DC5</t>
        </is>
      </c>
      <c r="H108" t="inlineStr">
        <is>
          <t>Opening inventory of 1909 and supply of 0 exceed the demand of 93, resulting in a projected surplus of 1816. This inventory levels violates the maximum stock threshold of 1382 units by 434 units, increasing holding risk.</t>
        </is>
      </c>
    </row>
    <row r="109">
      <c r="A109" t="inlineStr">
        <is>
          <t>P2</t>
        </is>
      </c>
      <c r="B109" t="inlineStr">
        <is>
          <t>B</t>
        </is>
      </c>
      <c r="C109" t="n">
        <v>11</v>
      </c>
      <c r="D109" t="inlineStr">
        <is>
          <t>24%</t>
        </is>
      </c>
      <c r="E109" t="inlineStr">
        <is>
          <t>High ESTN</t>
        </is>
      </c>
      <c r="F109" t="inlineStr">
        <is>
          <t>SKU_0005</t>
        </is>
      </c>
      <c r="G109" t="inlineStr">
        <is>
          <t>DC5</t>
        </is>
      </c>
      <c r="H109" t="inlineStr">
        <is>
          <t>Opening inventory of 1816 and supply of 0 exceed the demand of 98, resulting in a projected surplus of 1718. This inventory levels violates the maximum stock threshold of 1382 units by 336 units, increasing holding risk.</t>
        </is>
      </c>
    </row>
    <row r="110">
      <c r="A110" t="inlineStr">
        <is>
          <t>P2</t>
        </is>
      </c>
      <c r="B110" t="inlineStr">
        <is>
          <t>B</t>
        </is>
      </c>
      <c r="C110" t="n">
        <v>9</v>
      </c>
      <c r="D110" t="inlineStr">
        <is>
          <t>8%</t>
        </is>
      </c>
      <c r="E110" t="inlineStr">
        <is>
          <t>Low ESTN</t>
        </is>
      </c>
      <c r="F110" t="inlineStr">
        <is>
          <t>SKU_0005</t>
        </is>
      </c>
      <c r="G110" t="inlineStr">
        <is>
          <t>DC4</t>
        </is>
      </c>
      <c r="H110" t="inlineStr">
        <is>
          <t>Opening inventory of 318 and supply of 0 exceed the demand of 13, resulting in a projected surplus of 305. This inventory levels violates the maximum stock threshold of 281 units by 24 units, increasing holding risk.</t>
        </is>
      </c>
    </row>
    <row r="111">
      <c r="A111" t="inlineStr">
        <is>
          <t>P2</t>
        </is>
      </c>
      <c r="B111" t="inlineStr">
        <is>
          <t>B</t>
        </is>
      </c>
      <c r="C111" t="n">
        <v>5</v>
      </c>
      <c r="D111" t="inlineStr">
        <is>
          <t>4%</t>
        </is>
      </c>
      <c r="E111" t="inlineStr">
        <is>
          <t>Low ESTN</t>
        </is>
      </c>
      <c r="F111" t="inlineStr">
        <is>
          <t>SKU_0005</t>
        </is>
      </c>
      <c r="G111" t="inlineStr">
        <is>
          <t>DC4</t>
        </is>
      </c>
      <c r="H111" t="inlineStr">
        <is>
          <t>Opening inventory of 181 and supply of 129 exceed the demand of 17, resulting in a projected surplus of 293. This inventory levels violates the maximum stock threshold of 281 units by 12 units, increasing holding risk.</t>
        </is>
      </c>
    </row>
    <row r="112">
      <c r="A112" t="inlineStr">
        <is>
          <t>P2</t>
        </is>
      </c>
      <c r="B112" t="inlineStr">
        <is>
          <t>B</t>
        </is>
      </c>
      <c r="C112" t="n">
        <v>4</v>
      </c>
      <c r="D112" t="inlineStr">
        <is>
          <t>2%</t>
        </is>
      </c>
      <c r="E112" t="inlineStr">
        <is>
          <t>Low ESTN</t>
        </is>
      </c>
      <c r="F112" t="inlineStr">
        <is>
          <t>SKU_0005</t>
        </is>
      </c>
      <c r="G112" t="inlineStr">
        <is>
          <t>F1</t>
        </is>
      </c>
      <c r="H112" t="inlineStr">
        <is>
          <t>Opening inventory of 3518 and supply of 0 exceed the demand of 354, resulting in a projected surplus of 3164. This inventory levels violates the maximum stock threshold of 3086 units by 78 units, increasing holding risk.</t>
        </is>
      </c>
    </row>
    <row r="113">
      <c r="A113" t="inlineStr">
        <is>
          <t>P2</t>
        </is>
      </c>
      <c r="B113" t="inlineStr">
        <is>
          <t>B</t>
        </is>
      </c>
      <c r="C113" t="n">
        <v>3</v>
      </c>
      <c r="D113" t="inlineStr">
        <is>
          <t>0%</t>
        </is>
      </c>
      <c r="E113" t="inlineStr">
        <is>
          <t>Low ESTN</t>
        </is>
      </c>
      <c r="F113" t="inlineStr">
        <is>
          <t>SKU_0005</t>
        </is>
      </c>
      <c r="G113" t="inlineStr">
        <is>
          <t>DC5</t>
        </is>
      </c>
      <c r="H113" t="inlineStr">
        <is>
          <t>Opening inventory of 1222 and supply of 290 exceed the demand of 128, resulting in a projected surplus of 1384. This inventory levels violates the maximum stock threshold of 1382 units by 2 units, increasing holding risk.</t>
        </is>
      </c>
    </row>
    <row r="114">
      <c r="A114" t="inlineStr">
        <is>
          <t>P2</t>
        </is>
      </c>
      <c r="B114" t="inlineStr">
        <is>
          <t>C</t>
        </is>
      </c>
      <c r="C114" t="n">
        <v>8</v>
      </c>
      <c r="D114" t="inlineStr">
        <is>
          <t>88%</t>
        </is>
      </c>
      <c r="E114" t="inlineStr">
        <is>
          <t>High MSTN</t>
        </is>
      </c>
      <c r="F114" t="inlineStr">
        <is>
          <t>SKU_0004</t>
        </is>
      </c>
      <c r="G114" t="inlineStr">
        <is>
          <t>F1</t>
        </is>
      </c>
      <c r="H114" t="inlineStr">
        <is>
          <t>Opening inventory of 778 and supply of 0 are sufficient to cover the demand of 606. However, the projected closing inventory of 172 falls 1371 units below the target safety stock requirement of 1543, compromising the critical service level buffer.</t>
        </is>
      </c>
    </row>
    <row r="115">
      <c r="A115" t="inlineStr">
        <is>
          <t>P2</t>
        </is>
      </c>
      <c r="B115" t="inlineStr">
        <is>
          <t>C</t>
        </is>
      </c>
      <c r="C115" t="n">
        <v>12</v>
      </c>
      <c r="D115" t="inlineStr">
        <is>
          <t>72%</t>
        </is>
      </c>
      <c r="E115" t="inlineStr">
        <is>
          <t>High ESTN</t>
        </is>
      </c>
      <c r="F115" t="inlineStr">
        <is>
          <t>SKU_0001</t>
        </is>
      </c>
      <c r="G115" t="inlineStr">
        <is>
          <t>F1</t>
        </is>
      </c>
      <c r="H115" t="inlineStr">
        <is>
          <t>Opening inventory of 4308 and supply of 0 exceed the demand of 0, resulting in a projected surplus of 4728. This inventory levels violates the maximum stock threshold of 2743 units by 1985 units, increasing holding risk.</t>
        </is>
      </c>
    </row>
    <row r="116">
      <c r="A116" t="inlineStr">
        <is>
          <t>P2</t>
        </is>
      </c>
      <c r="B116" t="inlineStr">
        <is>
          <t>C</t>
        </is>
      </c>
      <c r="C116" t="n">
        <v>10</v>
      </c>
      <c r="D116" t="inlineStr">
        <is>
          <t>66%</t>
        </is>
      </c>
      <c r="E116" t="inlineStr">
        <is>
          <t>High MSTN</t>
        </is>
      </c>
      <c r="F116" t="inlineStr">
        <is>
          <t>SKU_0004</t>
        </is>
      </c>
      <c r="G116" t="inlineStr">
        <is>
          <t>F1</t>
        </is>
      </c>
      <c r="H116" t="inlineStr">
        <is>
          <t>Opening inventory of 871 and supply of 0 are sufficient to cover the demand of 355. However, the projected closing inventory of 516 falls 1027 units below the target safety stock requirement of 1543, compromising the critical service level buffer.</t>
        </is>
      </c>
    </row>
    <row r="117">
      <c r="A117" t="inlineStr">
        <is>
          <t>P2</t>
        </is>
      </c>
      <c r="B117" t="inlineStr">
        <is>
          <t>C</t>
        </is>
      </c>
      <c r="C117" t="n">
        <v>11</v>
      </c>
      <c r="D117" t="inlineStr">
        <is>
          <t>57%</t>
        </is>
      </c>
      <c r="E117" t="inlineStr">
        <is>
          <t>High ESTN</t>
        </is>
      </c>
      <c r="F117" t="inlineStr">
        <is>
          <t>SKU_0001</t>
        </is>
      </c>
      <c r="G117" t="inlineStr">
        <is>
          <t>F1</t>
        </is>
      </c>
      <c r="H117" t="inlineStr">
        <is>
          <t>Opening inventory of 3530 and supply of 1094 exceed the demand of 316, resulting in a projected surplus of 4308. This inventory levels violates the maximum stock threshold of 2743 units by 1565 units, increasing holding risk.</t>
        </is>
      </c>
    </row>
    <row r="118">
      <c r="A118" t="inlineStr">
        <is>
          <t>P2</t>
        </is>
      </c>
      <c r="B118" t="inlineStr">
        <is>
          <t>C</t>
        </is>
      </c>
      <c r="C118" t="n">
        <v>7</v>
      </c>
      <c r="D118" t="inlineStr">
        <is>
          <t>49%</t>
        </is>
      </c>
      <c r="E118" t="inlineStr">
        <is>
          <t>High MSTN</t>
        </is>
      </c>
      <c r="F118" t="inlineStr">
        <is>
          <t>SKU_0004</t>
        </is>
      </c>
      <c r="G118" t="inlineStr">
        <is>
          <t>F1</t>
        </is>
      </c>
      <c r="H118" t="inlineStr">
        <is>
          <t>Opening inventory of 1498 and supply of 0 are sufficient to cover the demand of 720. However, the projected closing inventory of 778 falls 765 units below the target safety stock requirement of 1543, compromising the critical service level buffer.</t>
        </is>
      </c>
    </row>
    <row r="119">
      <c r="A119" t="inlineStr">
        <is>
          <t>P2</t>
        </is>
      </c>
      <c r="B119" t="inlineStr">
        <is>
          <t>C</t>
        </is>
      </c>
      <c r="C119" t="n">
        <v>5</v>
      </c>
      <c r="D119" t="inlineStr">
        <is>
          <t>43%</t>
        </is>
      </c>
      <c r="E119" t="inlineStr">
        <is>
          <t>High MSTN</t>
        </is>
      </c>
      <c r="F119" t="inlineStr">
        <is>
          <t>SKU_0004</t>
        </is>
      </c>
      <c r="G119" t="inlineStr">
        <is>
          <t>DC4</t>
        </is>
      </c>
      <c r="H119" t="inlineStr">
        <is>
          <t>Opening inventory of 404 and supply of 0 are sufficient to cover the demand of 146. However, the projected closing inventory of 258 falls 202 units below the target safety stock requirement of 460, compromising the critical service level buffer.</t>
        </is>
      </c>
    </row>
    <row r="120">
      <c r="A120" t="inlineStr">
        <is>
          <t>P2</t>
        </is>
      </c>
      <c r="B120" t="inlineStr">
        <is>
          <t>C</t>
        </is>
      </c>
      <c r="C120" t="n">
        <v>9</v>
      </c>
      <c r="D120" t="inlineStr">
        <is>
          <t>43%</t>
        </is>
      </c>
      <c r="E120" t="inlineStr">
        <is>
          <t>High MSTN</t>
        </is>
      </c>
      <c r="F120" t="inlineStr">
        <is>
          <t>SKU_0004</t>
        </is>
      </c>
      <c r="G120" t="inlineStr">
        <is>
          <t>F1</t>
        </is>
      </c>
      <c r="H120" t="inlineStr">
        <is>
          <t>Opening inventory of 172 and supply of 1403 are sufficient to cover the demand of 704. However, the projected closing inventory of 871 falls 672 units below the target safety stock requirement of 1543, compromising the critical service level buffer.</t>
        </is>
      </c>
    </row>
    <row r="121">
      <c r="A121" t="inlineStr">
        <is>
          <t>P2</t>
        </is>
      </c>
      <c r="B121" t="inlineStr">
        <is>
          <t>C</t>
        </is>
      </c>
      <c r="C121" t="n">
        <v>4</v>
      </c>
      <c r="D121" t="inlineStr">
        <is>
          <t>38%</t>
        </is>
      </c>
      <c r="E121" t="inlineStr">
        <is>
          <t>High ESTN</t>
        </is>
      </c>
      <c r="F121" t="inlineStr">
        <is>
          <t>SKU_0001</t>
        </is>
      </c>
      <c r="G121" t="inlineStr">
        <is>
          <t>F1</t>
        </is>
      </c>
      <c r="H121" t="inlineStr">
        <is>
          <t>Opening inventory of 2133 and supply of 2112 exceed the demand of 443, resulting in a projected surplus of 3802. This inventory levels violates the maximum stock threshold of 2743 units by 1059 units, increasing holding risk.</t>
        </is>
      </c>
    </row>
    <row r="122">
      <c r="A122" t="inlineStr">
        <is>
          <t>P2</t>
        </is>
      </c>
      <c r="B122" t="inlineStr">
        <is>
          <t>C</t>
        </is>
      </c>
      <c r="C122" t="n">
        <v>2</v>
      </c>
      <c r="D122" t="inlineStr">
        <is>
          <t>36%</t>
        </is>
      </c>
      <c r="E122" t="inlineStr">
        <is>
          <t>High ESTN</t>
        </is>
      </c>
      <c r="F122" t="inlineStr">
        <is>
          <t>SKU_0004</t>
        </is>
      </c>
      <c r="G122" t="inlineStr">
        <is>
          <t>DC5</t>
        </is>
      </c>
      <c r="H122" t="inlineStr">
        <is>
          <t>Opening inventory of 219 and supply of 0 exceed the demand of 19, resulting in a projected surplus of 241. This inventory levels violates the maximum stock threshold of 176 units by 65 units, increasing holding risk.</t>
        </is>
      </c>
    </row>
    <row r="123">
      <c r="A123" t="inlineStr">
        <is>
          <t>P2</t>
        </is>
      </c>
      <c r="B123" t="inlineStr">
        <is>
          <t>C</t>
        </is>
      </c>
      <c r="C123" t="n">
        <v>5</v>
      </c>
      <c r="D123" t="inlineStr">
        <is>
          <t>33%</t>
        </is>
      </c>
      <c r="E123" t="inlineStr">
        <is>
          <t>High ESTN</t>
        </is>
      </c>
      <c r="F123" t="inlineStr">
        <is>
          <t>SKU_0001</t>
        </is>
      </c>
      <c r="G123" t="inlineStr">
        <is>
          <t>F1</t>
        </is>
      </c>
      <c r="H123" t="inlineStr">
        <is>
          <t>Opening inventory of 3802 and supply of 0 exceed the demand of 152, resulting in a projected surplus of 3650. This inventory levels violates the maximum stock threshold of 2743 units by 907 units, increasing holding risk.</t>
        </is>
      </c>
    </row>
    <row r="124">
      <c r="A124" t="inlineStr">
        <is>
          <t>P2</t>
        </is>
      </c>
      <c r="B124" t="inlineStr">
        <is>
          <t>C</t>
        </is>
      </c>
      <c r="C124" t="n">
        <v>10</v>
      </c>
      <c r="D124" t="inlineStr">
        <is>
          <t>28%</t>
        </is>
      </c>
      <c r="E124" t="inlineStr">
        <is>
          <t>High ESTN</t>
        </is>
      </c>
      <c r="F124" t="inlineStr">
        <is>
          <t>SKU_0001</t>
        </is>
      </c>
      <c r="G124" t="inlineStr">
        <is>
          <t>F1</t>
        </is>
      </c>
      <c r="H124" t="inlineStr">
        <is>
          <t>Opening inventory of 2421 and supply of 2222 exceed the demand of 1113, resulting in a projected surplus of 3530. This inventory levels violates the maximum stock threshold of 2743 units by 787 units, increasing holding risk.</t>
        </is>
      </c>
    </row>
    <row r="125">
      <c r="A125" t="inlineStr">
        <is>
          <t>P2</t>
        </is>
      </c>
      <c r="B125" t="inlineStr">
        <is>
          <t>C</t>
        </is>
      </c>
      <c r="C125" t="n">
        <v>7</v>
      </c>
      <c r="D125" t="inlineStr">
        <is>
          <t>27%</t>
        </is>
      </c>
      <c r="E125" t="inlineStr">
        <is>
          <t>High ESTN</t>
        </is>
      </c>
      <c r="F125" t="inlineStr">
        <is>
          <t>SKU_0004</t>
        </is>
      </c>
      <c r="G125" t="inlineStr">
        <is>
          <t>DC5</t>
        </is>
      </c>
      <c r="H125" t="inlineStr">
        <is>
          <t>Opening inventory of 204 and supply of 0 exceed the demand of 12, resulting in a projected surplus of 225. This inventory levels violates the maximum stock threshold of 176 units by 49 units, increasing holding risk.</t>
        </is>
      </c>
    </row>
    <row r="126">
      <c r="A126" t="inlineStr">
        <is>
          <t>P2</t>
        </is>
      </c>
      <c r="B126" t="inlineStr">
        <is>
          <t>C</t>
        </is>
      </c>
      <c r="C126" t="n">
        <v>3</v>
      </c>
      <c r="D126" t="inlineStr">
        <is>
          <t>26%</t>
        </is>
      </c>
      <c r="E126" t="inlineStr">
        <is>
          <t>High ESTN</t>
        </is>
      </c>
      <c r="F126" t="inlineStr">
        <is>
          <t>SKU_0004</t>
        </is>
      </c>
      <c r="G126" t="inlineStr">
        <is>
          <t>DC5</t>
        </is>
      </c>
      <c r="H126" t="inlineStr">
        <is>
          <t>Opening inventory of 241 and supply of 0 exceed the demand of 18, resulting in a projected surplus of 223. This inventory levels violates the maximum stock threshold of 176 units by 47 units, increasing holding risk.</t>
        </is>
      </c>
    </row>
    <row r="127">
      <c r="A127" t="inlineStr">
        <is>
          <t>P2</t>
        </is>
      </c>
      <c r="B127" t="inlineStr">
        <is>
          <t>C</t>
        </is>
      </c>
      <c r="C127" t="n">
        <v>1</v>
      </c>
      <c r="D127" t="inlineStr">
        <is>
          <t>24%</t>
        </is>
      </c>
      <c r="E127" t="inlineStr">
        <is>
          <t>High ESTN</t>
        </is>
      </c>
      <c r="F127" t="inlineStr">
        <is>
          <t>SKU_0004</t>
        </is>
      </c>
      <c r="G127" t="inlineStr">
        <is>
          <t>DC5</t>
        </is>
      </c>
      <c r="H127" t="inlineStr">
        <is>
          <t>Opening inventory of 195 and supply of 36 exceed the demand of 12, resulting in a projected surplus of 219. This inventory levels violates the maximum stock threshold of 176 units by 43 units, increasing holding risk.</t>
        </is>
      </c>
    </row>
    <row r="128">
      <c r="A128" t="inlineStr">
        <is>
          <t>P2</t>
        </is>
      </c>
      <c r="B128" t="inlineStr">
        <is>
          <t>C</t>
        </is>
      </c>
      <c r="C128" t="n">
        <v>8</v>
      </c>
      <c r="D128" t="inlineStr">
        <is>
          <t>21%</t>
        </is>
      </c>
      <c r="E128" t="inlineStr">
        <is>
          <t>High ESTN</t>
        </is>
      </c>
      <c r="F128" t="inlineStr">
        <is>
          <t>SKU_0004</t>
        </is>
      </c>
      <c r="G128" t="inlineStr">
        <is>
          <t>DC5</t>
        </is>
      </c>
      <c r="H128" t="inlineStr">
        <is>
          <t>Opening inventory of 225 and supply of 0 exceed the demand of 12, resulting in a projected surplus of 213. This inventory levels violates the maximum stock threshold of 176 units by 37 units, increasing holding risk.</t>
        </is>
      </c>
    </row>
    <row r="129">
      <c r="A129" t="inlineStr">
        <is>
          <t>P2</t>
        </is>
      </c>
      <c r="B129" t="inlineStr">
        <is>
          <t>C</t>
        </is>
      </c>
      <c r="C129" t="n">
        <v>5</v>
      </c>
      <c r="D129" t="inlineStr">
        <is>
          <t>8%</t>
        </is>
      </c>
      <c r="E129" t="inlineStr">
        <is>
          <t>Low ESTN</t>
        </is>
      </c>
      <c r="F129" t="inlineStr">
        <is>
          <t>SKU_0004</t>
        </is>
      </c>
      <c r="G129" t="inlineStr">
        <is>
          <t>DC5</t>
        </is>
      </c>
      <c r="H129" t="inlineStr">
        <is>
          <t>Opening inventory of 205 and supply of 0 exceed the demand of 14, resulting in a projected surplus of 191. This inventory levels violates the maximum stock threshold of 176 units by 15 units, increasing holding risk.</t>
        </is>
      </c>
    </row>
    <row r="130">
      <c r="A130" t="inlineStr">
        <is>
          <t>P2</t>
        </is>
      </c>
      <c r="B130" t="inlineStr">
        <is>
          <t>C</t>
        </is>
      </c>
      <c r="C130" t="n">
        <v>3</v>
      </c>
      <c r="D130" t="inlineStr">
        <is>
          <t>7%</t>
        </is>
      </c>
      <c r="E130" t="inlineStr">
        <is>
          <t>Low MSTN</t>
        </is>
      </c>
      <c r="F130" t="inlineStr">
        <is>
          <t>SKU_0004</t>
        </is>
      </c>
      <c r="G130" t="inlineStr">
        <is>
          <t>F1</t>
        </is>
      </c>
      <c r="H130" t="inlineStr">
        <is>
          <t>Opening inventory of 1009 and supply of 1230 are sufficient to cover the demand of 812. However, the projected closing inventory of 1427 falls 116 units below the target safety stock requirement of 1543, compromising the critical service level buffer.</t>
        </is>
      </c>
    </row>
    <row r="131">
      <c r="A131" t="inlineStr">
        <is>
          <t>P2</t>
        </is>
      </c>
      <c r="B131" t="inlineStr">
        <is>
          <t>C</t>
        </is>
      </c>
      <c r="C131" t="n">
        <v>10</v>
      </c>
      <c r="D131" t="inlineStr">
        <is>
          <t>3%</t>
        </is>
      </c>
      <c r="E131" t="inlineStr">
        <is>
          <t>Low ESTN</t>
        </is>
      </c>
      <c r="F131" t="inlineStr">
        <is>
          <t>SKU_0004</t>
        </is>
      </c>
      <c r="G131" t="inlineStr">
        <is>
          <t>DC5</t>
        </is>
      </c>
      <c r="H131" t="inlineStr">
        <is>
          <t>Opening inventory of 200 and supply of 0 exceed the demand of 18, resulting in a projected surplus of 182. This inventory levels violates the maximum stock threshold of 176 units by 6 units, increasing holding risk.</t>
        </is>
      </c>
    </row>
    <row r="132">
      <c r="A132" t="inlineStr">
        <is>
          <t>P2</t>
        </is>
      </c>
      <c r="B132" t="inlineStr">
        <is>
          <t>C</t>
        </is>
      </c>
      <c r="C132" t="n">
        <v>6</v>
      </c>
      <c r="D132" t="inlineStr">
        <is>
          <t>2%</t>
        </is>
      </c>
      <c r="E132" t="inlineStr">
        <is>
          <t>Low MSTN</t>
        </is>
      </c>
      <c r="F132" t="inlineStr">
        <is>
          <t>SKU_0004</t>
        </is>
      </c>
      <c r="G132" t="inlineStr">
        <is>
          <t>F1</t>
        </is>
      </c>
      <c r="H132" t="inlineStr">
        <is>
          <t>Opening inventory of 1586 and supply of 0 are sufficient to cover the demand of 531. However, the projected closing inventory of 1498 falls 45 units below the target safety stock requirement of 1543, compromising the critical service level buffer.</t>
        </is>
      </c>
    </row>
    <row r="133">
      <c r="A133" t="inlineStr">
        <is>
          <t>P2</t>
        </is>
      </c>
      <c r="B133" t="inlineStr">
        <is>
          <t>C</t>
        </is>
      </c>
      <c r="C133" t="n">
        <v>3</v>
      </c>
      <c r="D133" t="inlineStr">
        <is>
          <t>0%</t>
        </is>
      </c>
      <c r="E133" t="inlineStr">
        <is>
          <t>Low ESTN</t>
        </is>
      </c>
      <c r="F133" t="inlineStr">
        <is>
          <t>SKU_0001</t>
        </is>
      </c>
      <c r="G133" t="inlineStr">
        <is>
          <t>DC1</t>
        </is>
      </c>
      <c r="H133" t="inlineStr">
        <is>
          <t>Opening inventory of 454 and supply of 166 exceed the demand of 58, resulting in a projected surplus of 562. This inventory levels violates the maximum stock threshold of 558 units by 4 units, increasing holding risk.</t>
        </is>
      </c>
    </row>
    <row r="134">
      <c r="A134" t="inlineStr">
        <is>
          <t>P3</t>
        </is>
      </c>
      <c r="B134" t="inlineStr">
        <is>
          <t>A</t>
        </is>
      </c>
      <c r="C134" t="n">
        <v>12</v>
      </c>
      <c r="D134" t="inlineStr">
        <is>
          <t>14%</t>
        </is>
      </c>
      <c r="E134" t="inlineStr">
        <is>
          <t>Medium MSTN</t>
        </is>
      </c>
      <c r="F134" t="inlineStr">
        <is>
          <t>SKU_0002</t>
        </is>
      </c>
      <c r="G134" t="inlineStr">
        <is>
          <t>DC4</t>
        </is>
      </c>
      <c r="H134" t="inlineStr">
        <is>
          <t>Opening inventory of 147 and supply of 327 are sufficient to cover the demand of 81. However, the projected closing inventory of 393 falls 65 units below the target safety stock requirement of 458, compromising the critical service level buffer.</t>
        </is>
      </c>
    </row>
    <row r="135">
      <c r="A135" t="inlineStr">
        <is>
          <t>P3</t>
        </is>
      </c>
      <c r="B135" t="inlineStr">
        <is>
          <t>A</t>
        </is>
      </c>
      <c r="C135" t="n">
        <v>10</v>
      </c>
      <c r="D135" t="inlineStr">
        <is>
          <t>8%</t>
        </is>
      </c>
      <c r="E135" t="inlineStr">
        <is>
          <t>Low ESTN</t>
        </is>
      </c>
      <c r="F135" t="inlineStr">
        <is>
          <t>SKU_0003</t>
        </is>
      </c>
      <c r="G135" t="inlineStr">
        <is>
          <t>DC2</t>
        </is>
      </c>
      <c r="H135" t="inlineStr">
        <is>
          <t>Opening inventory of 802 and supply of 93 exceed the demand of 53, resulting in a projected surplus of 842. This inventory levels violates the maximum stock threshold of 775 units by 67 units, increasing holding risk.</t>
        </is>
      </c>
    </row>
    <row r="136">
      <c r="A136" t="inlineStr">
        <is>
          <t>P3</t>
        </is>
      </c>
      <c r="B136" t="inlineStr">
        <is>
          <t>A</t>
        </is>
      </c>
      <c r="C136" t="n">
        <v>12</v>
      </c>
      <c r="D136" t="inlineStr">
        <is>
          <t>8%</t>
        </is>
      </c>
      <c r="E136" t="inlineStr">
        <is>
          <t>Low ESTN</t>
        </is>
      </c>
      <c r="F136" t="inlineStr">
        <is>
          <t>SKU_0003</t>
        </is>
      </c>
      <c r="G136" t="inlineStr">
        <is>
          <t>DC4</t>
        </is>
      </c>
      <c r="H136" t="inlineStr">
        <is>
          <t>Opening inventory of 1622 and supply of 0 exceed the demand of 134, resulting in a projected surplus of 1488. This inventory levels violates the maximum stock threshold of 1368 units by 120 units, increasing holding risk.</t>
        </is>
      </c>
    </row>
    <row r="137">
      <c r="A137" t="inlineStr">
        <is>
          <t>P3</t>
        </is>
      </c>
      <c r="B137" t="inlineStr">
        <is>
          <t>A</t>
        </is>
      </c>
      <c r="C137" t="n">
        <v>8</v>
      </c>
      <c r="D137" t="inlineStr">
        <is>
          <t>7%</t>
        </is>
      </c>
      <c r="E137" t="inlineStr">
        <is>
          <t>Low ESTN</t>
        </is>
      </c>
      <c r="F137" t="inlineStr">
        <is>
          <t>SKU_0002</t>
        </is>
      </c>
      <c r="G137" t="inlineStr">
        <is>
          <t>F1</t>
        </is>
      </c>
      <c r="H137" t="inlineStr">
        <is>
          <t>Opening inventory of 6174 and supply of 0 exceed the demand of 440, resulting in a projected surplus of 5734. This inventory levels violates the maximum stock threshold of 5333 units by 401 units, increasing holding risk.</t>
        </is>
      </c>
    </row>
    <row r="138">
      <c r="A138" t="inlineStr">
        <is>
          <t>P3</t>
        </is>
      </c>
      <c r="B138" t="inlineStr">
        <is>
          <t>A</t>
        </is>
      </c>
      <c r="C138" t="n">
        <v>8</v>
      </c>
      <c r="D138" t="inlineStr">
        <is>
          <t>5%</t>
        </is>
      </c>
      <c r="E138" t="inlineStr">
        <is>
          <t>Low MSTN</t>
        </is>
      </c>
      <c r="F138" t="inlineStr">
        <is>
          <t>SKU_0002</t>
        </is>
      </c>
      <c r="G138" t="inlineStr">
        <is>
          <t>DC5</t>
        </is>
      </c>
      <c r="H138" t="inlineStr">
        <is>
          <t>Opening inventory of 264 and supply of 0 are sufficient to cover the demand of 54. However, the projected closing inventory of 210 falls 12 units below the target safety stock requirement of 222, compromising the critical service level buffer.</t>
        </is>
      </c>
    </row>
    <row r="139">
      <c r="A139" t="inlineStr">
        <is>
          <t>P3</t>
        </is>
      </c>
      <c r="B139" t="inlineStr">
        <is>
          <t>A</t>
        </is>
      </c>
      <c r="C139" t="n">
        <v>6</v>
      </c>
      <c r="D139" t="inlineStr">
        <is>
          <t>4%</t>
        </is>
      </c>
      <c r="E139" t="inlineStr">
        <is>
          <t>Low ESTN</t>
        </is>
      </c>
      <c r="F139" t="inlineStr">
        <is>
          <t>SKU_0002</t>
        </is>
      </c>
      <c r="G139" t="inlineStr">
        <is>
          <t>DC2</t>
        </is>
      </c>
      <c r="H139" t="inlineStr">
        <is>
          <t>Opening inventory of 1105 and supply of 0 exceed the demand of 90, resulting in a projected surplus of 1248. This inventory levels violates the maximum stock threshold of 1190 units by 58 units, increasing holding risk.</t>
        </is>
      </c>
    </row>
    <row r="140">
      <c r="A140" t="inlineStr">
        <is>
          <t>P3</t>
        </is>
      </c>
      <c r="B140" t="inlineStr">
        <is>
          <t>A</t>
        </is>
      </c>
      <c r="C140" t="n">
        <v>8</v>
      </c>
      <c r="D140" t="inlineStr">
        <is>
          <t>4%</t>
        </is>
      </c>
      <c r="E140" t="inlineStr">
        <is>
          <t>Low ESTN</t>
        </is>
      </c>
      <c r="F140" t="inlineStr">
        <is>
          <t>SKU_0003</t>
        </is>
      </c>
      <c r="G140" t="inlineStr">
        <is>
          <t>DC4</t>
        </is>
      </c>
      <c r="H140" t="inlineStr">
        <is>
          <t>Opening inventory of 1257 and supply of 266 exceed the demand of 96, resulting in a projected surplus of 1427. This inventory levels violates the maximum stock threshold of 1368 units by 59 units, increasing holding risk.</t>
        </is>
      </c>
    </row>
    <row r="141">
      <c r="A141" t="inlineStr">
        <is>
          <t>P3</t>
        </is>
      </c>
      <c r="B141" t="inlineStr">
        <is>
          <t>A</t>
        </is>
      </c>
      <c r="C141" t="n">
        <v>10</v>
      </c>
      <c r="D141" t="inlineStr">
        <is>
          <t>4%</t>
        </is>
      </c>
      <c r="E141" t="inlineStr">
        <is>
          <t>Low ESTN</t>
        </is>
      </c>
      <c r="F141" t="inlineStr">
        <is>
          <t>SKU_0003</t>
        </is>
      </c>
      <c r="G141" t="inlineStr">
        <is>
          <t>DC4</t>
        </is>
      </c>
      <c r="H141" t="inlineStr">
        <is>
          <t>Opening inventory of 1549 and supply of 0 exceed the demand of 115, resulting in a projected surplus of 1434. This inventory levels violates the maximum stock threshold of 1368 units by 66 units, increasing holding risk.</t>
        </is>
      </c>
    </row>
    <row r="142">
      <c r="A142" t="inlineStr">
        <is>
          <t>P3</t>
        </is>
      </c>
      <c r="B142" t="inlineStr">
        <is>
          <t>A</t>
        </is>
      </c>
      <c r="C142" t="n">
        <v>11</v>
      </c>
      <c r="D142" t="inlineStr">
        <is>
          <t>4%</t>
        </is>
      </c>
      <c r="E142" t="inlineStr">
        <is>
          <t>Low ESTN</t>
        </is>
      </c>
      <c r="F142" t="inlineStr">
        <is>
          <t>SKU_0002</t>
        </is>
      </c>
      <c r="G142" t="inlineStr">
        <is>
          <t>DC2</t>
        </is>
      </c>
      <c r="H142" t="inlineStr">
        <is>
          <t>Opening inventory of 1117 and supply of 0 exceed the demand of 90, resulting in a projected surplus of 1238. This inventory levels violates the maximum stock threshold of 1190 units by 48 units, increasing holding risk.</t>
        </is>
      </c>
    </row>
    <row r="143">
      <c r="A143" t="inlineStr">
        <is>
          <t>P3</t>
        </is>
      </c>
      <c r="B143" t="inlineStr">
        <is>
          <t>A</t>
        </is>
      </c>
      <c r="C143" t="n">
        <v>7</v>
      </c>
      <c r="D143" t="inlineStr">
        <is>
          <t>3%</t>
        </is>
      </c>
      <c r="E143" t="inlineStr">
        <is>
          <t>Low ESTN</t>
        </is>
      </c>
      <c r="F143" t="inlineStr">
        <is>
          <t>SKU_0003</t>
        </is>
      </c>
      <c r="G143" t="inlineStr">
        <is>
          <t>DC2</t>
        </is>
      </c>
      <c r="H143" t="inlineStr">
        <is>
          <t>Opening inventory of 758 and supply of 98 exceed the demand of 52, resulting in a projected surplus of 804. This inventory levels violates the maximum stock threshold of 775 units by 29 units, increasing holding risk.</t>
        </is>
      </c>
    </row>
    <row r="144">
      <c r="A144" t="inlineStr">
        <is>
          <t>P3</t>
        </is>
      </c>
      <c r="B144" t="inlineStr">
        <is>
          <t>A</t>
        </is>
      </c>
      <c r="C144" t="n">
        <v>9</v>
      </c>
      <c r="D144" t="inlineStr">
        <is>
          <t>3%</t>
        </is>
      </c>
      <c r="E144" t="inlineStr">
        <is>
          <t>Low ESTN</t>
        </is>
      </c>
      <c r="F144" t="inlineStr">
        <is>
          <t>SKU_0003</t>
        </is>
      </c>
      <c r="G144" t="inlineStr">
        <is>
          <t>DC2</t>
        </is>
      </c>
      <c r="H144" t="inlineStr">
        <is>
          <t>Opening inventory of 765 and supply of 76 exceed the demand of 39, resulting in a projected surplus of 802. This inventory levels violates the maximum stock threshold of 775 units by 27 units, increasing holding risk.</t>
        </is>
      </c>
    </row>
    <row r="145">
      <c r="A145" t="inlineStr">
        <is>
          <t>P3</t>
        </is>
      </c>
      <c r="B145" t="inlineStr">
        <is>
          <t>A</t>
        </is>
      </c>
      <c r="C145" t="n">
        <v>9</v>
      </c>
      <c r="D145" t="inlineStr">
        <is>
          <t>2%</t>
        </is>
      </c>
      <c r="E145" t="inlineStr">
        <is>
          <t>Low ESTN</t>
        </is>
      </c>
      <c r="F145" t="inlineStr">
        <is>
          <t>SKU_0002</t>
        </is>
      </c>
      <c r="G145" t="inlineStr">
        <is>
          <t>DC2</t>
        </is>
      </c>
      <c r="H145" t="inlineStr">
        <is>
          <t>Opening inventory of 1318 and supply of 0 exceed the demand of 96, resulting in a projected surplus of 1222. This inventory levels violates the maximum stock threshold of 1190 units by 32 units, increasing holding risk.</t>
        </is>
      </c>
    </row>
    <row r="146">
      <c r="A146" t="inlineStr">
        <is>
          <t>P3</t>
        </is>
      </c>
      <c r="B146" t="inlineStr">
        <is>
          <t>C</t>
        </is>
      </c>
      <c r="C146" t="n">
        <v>4</v>
      </c>
      <c r="D146" t="inlineStr">
        <is>
          <t>12%</t>
        </is>
      </c>
      <c r="E146" t="inlineStr">
        <is>
          <t>Medium MSTN</t>
        </is>
      </c>
      <c r="F146" t="inlineStr">
        <is>
          <t>SKU_0004</t>
        </is>
      </c>
      <c r="G146" t="inlineStr">
        <is>
          <t>DC4</t>
        </is>
      </c>
      <c r="H146" t="inlineStr">
        <is>
          <t>Opening inventory of 197 and supply of 0 are sufficient to cover the demand of 109. However, the projected closing inventory of 404 falls 56 units below the target safety stock requirement of 460, compromising the critical service level buffer.</t>
        </is>
      </c>
    </row>
    <row r="147">
      <c r="A147" t="inlineStr">
        <is>
          <t>P3</t>
        </is>
      </c>
      <c r="B147" t="inlineStr">
        <is>
          <t>C</t>
        </is>
      </c>
      <c r="C147" t="n">
        <v>6</v>
      </c>
      <c r="D147" t="inlineStr">
        <is>
          <t>7%</t>
        </is>
      </c>
      <c r="E147" t="inlineStr">
        <is>
          <t>Low ESTN</t>
        </is>
      </c>
      <c r="F147" t="inlineStr">
        <is>
          <t>SKU_0001</t>
        </is>
      </c>
      <c r="G147" t="inlineStr">
        <is>
          <t>F1</t>
        </is>
      </c>
      <c r="H147" t="inlineStr">
        <is>
          <t>Opening inventory of 3650 and supply of 0 exceed the demand of 705, resulting in a projected surplus of 2945. This inventory levels violates the maximum stock threshold of 2743 units by 202 units, increasing holding risk.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47"/>
  <sheetViews>
    <sheetView workbookViewId="0">
      <selection activeCell="A1" sqref="A1"/>
    </sheetView>
  </sheetViews>
  <sheetFormatPr baseColWidth="8" defaultRowHeight="15"/>
  <cols>
    <col width="17" customWidth="1" min="1" max="1"/>
    <col width="21" customWidth="1" min="2" max="2"/>
    <col width="12" customWidth="1" min="3" max="3"/>
    <col width="12" customWidth="1" min="4" max="4"/>
    <col width="11" customWidth="1" min="5" max="5"/>
    <col width="9" customWidth="1" min="6" max="6"/>
    <col width="12" customWidth="1" min="7" max="7"/>
    <col width="16" customWidth="1" min="8" max="8"/>
    <col width="17" customWidth="1" min="9" max="9"/>
    <col width="60" customWidth="1" min="10" max="10"/>
    <col width="9" customWidth="1" min="11" max="11"/>
    <col width="10" customWidth="1" min="12" max="12"/>
    <col width="17" customWidth="1" min="13" max="13"/>
    <col width="17" customWidth="1" min="14" max="14"/>
    <col width="60" customWidth="1" min="15" max="15"/>
    <col width="60" customWidth="1" min="16" max="16"/>
  </cols>
  <sheetData>
    <row r="1">
      <c r="A1" s="1" t="inlineStr">
        <is>
          <t>Snapshot_Date</t>
        </is>
      </c>
      <c r="B1" s="1" t="inlineStr">
        <is>
          <t>Alert_ID</t>
        </is>
      </c>
      <c r="C1" s="1" t="inlineStr">
        <is>
          <t>SKU</t>
        </is>
      </c>
      <c r="D1" s="1" t="inlineStr">
        <is>
          <t>Location</t>
        </is>
      </c>
      <c r="E1" s="1" t="inlineStr">
        <is>
          <t>Week_No</t>
        </is>
      </c>
      <c r="F1" s="1" t="inlineStr">
        <is>
          <t>MSTN%</t>
        </is>
      </c>
      <c r="G1" s="1" t="inlineStr">
        <is>
          <t>Shortage</t>
        </is>
      </c>
      <c r="H1" s="1" t="inlineStr">
        <is>
          <t>MST_Category</t>
        </is>
      </c>
      <c r="I1" s="1" t="inlineStr">
        <is>
          <t>MSTN_Priority</t>
        </is>
      </c>
      <c r="J1" s="1" t="inlineStr">
        <is>
          <t>MSTN_Comment</t>
        </is>
      </c>
      <c r="K1" s="1" t="inlineStr">
        <is>
          <t>ESTN%</t>
        </is>
      </c>
      <c r="L1" s="1" t="inlineStr">
        <is>
          <t>Excess</t>
        </is>
      </c>
      <c r="M1" s="1" t="inlineStr">
        <is>
          <t>ESTN_Category</t>
        </is>
      </c>
      <c r="N1" s="1" t="inlineStr">
        <is>
          <t>ESTN_Priority</t>
        </is>
      </c>
      <c r="O1" s="1" t="inlineStr">
        <is>
          <t>ESTN_Comment</t>
        </is>
      </c>
      <c r="P1" s="1" t="inlineStr">
        <is>
          <t>Root Cause Analysis/AI Insights</t>
        </is>
      </c>
    </row>
    <row r="2">
      <c r="A2" t="inlineStr">
        <is>
          <t>2026-04-17</t>
        </is>
      </c>
      <c r="B2" t="inlineStr">
        <is>
          <t>BD-24536581-00001</t>
        </is>
      </c>
      <c r="C2" t="inlineStr">
        <is>
          <t>SKU_0001</t>
        </is>
      </c>
      <c r="D2" t="inlineStr">
        <is>
          <t>DC1</t>
        </is>
      </c>
      <c r="E2" t="n">
        <v>3</v>
      </c>
      <c r="F2" t="inlineStr"/>
      <c r="G2" t="inlineStr"/>
      <c r="H2" t="inlineStr"/>
      <c r="I2" t="inlineStr"/>
      <c r="J2" t="inlineStr"/>
      <c r="K2" t="n">
        <v>0</v>
      </c>
      <c r="L2" t="n">
        <v>4</v>
      </c>
      <c r="M2" t="inlineStr">
        <is>
          <t>Low</t>
        </is>
      </c>
      <c r="N2" t="inlineStr">
        <is>
          <t>P2</t>
        </is>
      </c>
      <c r="O2" t="inlineStr">
        <is>
          <t>Opening Stock (454) + Aggressive Supply (166) exceeds Forecast (58).</t>
        </is>
      </c>
      <c r="P2" t="inlineStr">
        <is>
          <t>Opening inventory of 454 and supply of 166 exceed the demand of 58, resulting in a projected surplus of 562. This inventory levels violates the maximum stock threshold of 558 units by 4 units, increasing holding risk.</t>
        </is>
      </c>
    </row>
    <row r="3">
      <c r="A3" t="inlineStr">
        <is>
          <t>2026-04-17</t>
        </is>
      </c>
      <c r="B3" t="inlineStr">
        <is>
          <t>BD-24536581-00002</t>
        </is>
      </c>
      <c r="C3" t="inlineStr">
        <is>
          <t>SKU_0001</t>
        </is>
      </c>
      <c r="D3" t="inlineStr">
        <is>
          <t>DC1</t>
        </is>
      </c>
      <c r="E3" t="n">
        <v>5</v>
      </c>
      <c r="F3" t="inlineStr"/>
      <c r="G3" t="inlineStr"/>
      <c r="H3" t="inlineStr"/>
      <c r="I3" t="inlineStr"/>
      <c r="J3" t="inlineStr"/>
      <c r="K3" t="n">
        <v>68</v>
      </c>
      <c r="L3" t="n">
        <v>382</v>
      </c>
      <c r="M3" t="inlineStr">
        <is>
          <t>High</t>
        </is>
      </c>
      <c r="N3" t="inlineStr">
        <is>
          <t>P1</t>
        </is>
      </c>
      <c r="O3" t="inlineStr">
        <is>
          <t>High Opening Stock (615) + Supply (401) exceeds Max Stock (558) vs Demand (76).</t>
        </is>
      </c>
      <c r="P3" t="inlineStr">
        <is>
          <t>Opening inventory of 615 and supply of 401 exceed the demand of 76, resulting in a projected surplus of 940. This inventory levels violates the maximum stock threshold of 558 units by 382 units, increasing holding risk.</t>
        </is>
      </c>
    </row>
    <row r="4">
      <c r="A4" t="inlineStr">
        <is>
          <t>2026-04-17</t>
        </is>
      </c>
      <c r="B4" t="inlineStr">
        <is>
          <t>BD-24536581-00003</t>
        </is>
      </c>
      <c r="C4" t="inlineStr">
        <is>
          <t>SKU_0001</t>
        </is>
      </c>
      <c r="D4" t="inlineStr">
        <is>
          <t>DC1</t>
        </is>
      </c>
      <c r="E4" t="n">
        <v>6</v>
      </c>
      <c r="F4" t="inlineStr"/>
      <c r="G4" t="inlineStr"/>
      <c r="H4" t="inlineStr"/>
      <c r="I4" t="inlineStr"/>
      <c r="J4" t="inlineStr"/>
      <c r="K4" t="n">
        <v>94</v>
      </c>
      <c r="L4" t="n">
        <v>526</v>
      </c>
      <c r="M4" t="inlineStr">
        <is>
          <t>High</t>
        </is>
      </c>
      <c r="N4" t="inlineStr">
        <is>
          <t>P1</t>
        </is>
      </c>
      <c r="O4" t="inlineStr">
        <is>
          <t>High Opening Stock (940) + Supply (193) exceeds Max Stock (558) vs Demand (49).</t>
        </is>
      </c>
      <c r="P4" t="inlineStr">
        <is>
          <t>Opening inventory of 940 and supply of 0 exceed the demand of 49, resulting in a projected surplus of 1084. This inventory levels violates the maximum stock threshold of 558 units by 526 units, increasing holding risk.</t>
        </is>
      </c>
    </row>
    <row r="5">
      <c r="A5" t="inlineStr">
        <is>
          <t>2026-04-17</t>
        </is>
      </c>
      <c r="B5" t="inlineStr">
        <is>
          <t>BD-24536581-00004</t>
        </is>
      </c>
      <c r="C5" t="inlineStr">
        <is>
          <t>SKU_0001</t>
        </is>
      </c>
      <c r="D5" t="inlineStr">
        <is>
          <t>DC1</t>
        </is>
      </c>
      <c r="E5" t="n">
        <v>7</v>
      </c>
      <c r="F5" t="inlineStr"/>
      <c r="G5" t="inlineStr"/>
      <c r="H5" t="inlineStr"/>
      <c r="I5" t="inlineStr"/>
      <c r="J5" t="inlineStr"/>
      <c r="K5" t="n">
        <v>98</v>
      </c>
      <c r="L5" t="n">
        <v>549</v>
      </c>
      <c r="M5" t="inlineStr">
        <is>
          <t>High</t>
        </is>
      </c>
      <c r="N5" t="inlineStr">
        <is>
          <t>P1</t>
        </is>
      </c>
      <c r="O5" t="inlineStr">
        <is>
          <t>High Opening Stock (1,084) + Supply (91) exceeds Max Stock (558) vs Demand (68).</t>
        </is>
      </c>
      <c r="P5" t="inlineStr">
        <is>
          <t>Opening inventory of 1084 and supply of 0 exceed the demand of 68, resulting in a projected surplus of 1107. This inventory levels violates the maximum stock threshold of 558 units by 549 units, increasing holding risk.</t>
        </is>
      </c>
    </row>
    <row r="6">
      <c r="A6" t="inlineStr">
        <is>
          <t>2026-04-17</t>
        </is>
      </c>
      <c r="B6" t="inlineStr">
        <is>
          <t>BD-24536581-00005</t>
        </is>
      </c>
      <c r="C6" t="inlineStr">
        <is>
          <t>SKU_0001</t>
        </is>
      </c>
      <c r="D6" t="inlineStr">
        <is>
          <t>DC1</t>
        </is>
      </c>
      <c r="E6" t="n">
        <v>8</v>
      </c>
      <c r="F6" t="inlineStr"/>
      <c r="G6" t="inlineStr"/>
      <c r="H6" t="inlineStr"/>
      <c r="I6" t="inlineStr"/>
      <c r="J6" t="inlineStr"/>
      <c r="K6" t="n">
        <v>108</v>
      </c>
      <c r="L6" t="n">
        <v>603</v>
      </c>
      <c r="M6" t="inlineStr">
        <is>
          <t>High</t>
        </is>
      </c>
      <c r="N6" t="inlineStr">
        <is>
          <t>P1</t>
        </is>
      </c>
      <c r="O6" t="inlineStr">
        <is>
          <t>High Opening Stock (1,107) + Supply (131) exceeds Max Stock (558) vs Demand (77).</t>
        </is>
      </c>
      <c r="P6" t="inlineStr">
        <is>
          <t>Opening inventory of 1107 and supply of 131 exceed the demand of 77, resulting in a projected surplus of 1161. This inventory levels violates the maximum stock threshold of 558 units by 603 units, increasing holding risk.</t>
        </is>
      </c>
    </row>
    <row r="7">
      <c r="A7" t="inlineStr">
        <is>
          <t>2026-04-17</t>
        </is>
      </c>
      <c r="B7" t="inlineStr">
        <is>
          <t>BD-24536581-00006</t>
        </is>
      </c>
      <c r="C7" t="inlineStr">
        <is>
          <t>SKU_0001</t>
        </is>
      </c>
      <c r="D7" t="inlineStr">
        <is>
          <t>DC1</t>
        </is>
      </c>
      <c r="E7" t="n">
        <v>9</v>
      </c>
      <c r="F7" t="inlineStr"/>
      <c r="G7" t="inlineStr"/>
      <c r="H7" t="inlineStr"/>
      <c r="I7" t="inlineStr"/>
      <c r="J7" t="inlineStr"/>
      <c r="K7" t="n">
        <v>99</v>
      </c>
      <c r="L7" t="n">
        <v>557</v>
      </c>
      <c r="M7" t="inlineStr">
        <is>
          <t>High</t>
        </is>
      </c>
      <c r="N7" t="inlineStr">
        <is>
          <t>P1</t>
        </is>
      </c>
      <c r="O7" t="inlineStr">
        <is>
          <t>High Opening Stock (1,161) + Supply (0) exceeds Max Stock (558) vs Demand (46).</t>
        </is>
      </c>
      <c r="P7" t="inlineStr">
        <is>
          <t>Opening inventory of 1161 and supply of 0 exceed the demand of 46, resulting in a projected surplus of 1115. This inventory levels violates the maximum stock threshold of 558 units by 557 units, increasing holding risk.</t>
        </is>
      </c>
    </row>
    <row r="8">
      <c r="A8" t="inlineStr">
        <is>
          <t>2026-04-17</t>
        </is>
      </c>
      <c r="B8" t="inlineStr">
        <is>
          <t>BD-24536581-00007</t>
        </is>
      </c>
      <c r="C8" t="inlineStr">
        <is>
          <t>SKU_0001</t>
        </is>
      </c>
      <c r="D8" t="inlineStr">
        <is>
          <t>DC1</t>
        </is>
      </c>
      <c r="E8" t="n">
        <v>10</v>
      </c>
      <c r="F8" t="inlineStr"/>
      <c r="G8" t="inlineStr"/>
      <c r="H8" t="inlineStr"/>
      <c r="I8" t="inlineStr"/>
      <c r="J8" t="inlineStr"/>
      <c r="K8" t="n">
        <v>162</v>
      </c>
      <c r="L8" t="n">
        <v>908</v>
      </c>
      <c r="M8" t="inlineStr">
        <is>
          <t>High</t>
        </is>
      </c>
      <c r="N8" t="inlineStr">
        <is>
          <t>P1</t>
        </is>
      </c>
      <c r="O8" t="inlineStr">
        <is>
          <t>High Opening Stock (1,115) + Supply (407) exceeds Max Stock (558) vs Demand (56).</t>
        </is>
      </c>
      <c r="P8" t="inlineStr">
        <is>
          <t>Opening inventory of 1115 and supply of 407 exceed the demand of 56, resulting in a projected surplus of 1466. This inventory levels violates the maximum stock threshold of 558 units by 908 units, increasing holding risk.</t>
        </is>
      </c>
    </row>
    <row r="9">
      <c r="A9" t="inlineStr">
        <is>
          <t>2026-04-17</t>
        </is>
      </c>
      <c r="B9" t="inlineStr">
        <is>
          <t>BD-24536581-00008</t>
        </is>
      </c>
      <c r="C9" t="inlineStr">
        <is>
          <t>SKU_0001</t>
        </is>
      </c>
      <c r="D9" t="inlineStr">
        <is>
          <t>DC1</t>
        </is>
      </c>
      <c r="E9" t="n">
        <v>11</v>
      </c>
      <c r="F9" t="inlineStr"/>
      <c r="G9" t="inlineStr"/>
      <c r="H9" t="inlineStr"/>
      <c r="I9" t="inlineStr"/>
      <c r="J9" t="inlineStr"/>
      <c r="K9" t="n">
        <v>185</v>
      </c>
      <c r="L9" t="n">
        <v>1034</v>
      </c>
      <c r="M9" t="inlineStr">
        <is>
          <t>High</t>
        </is>
      </c>
      <c r="N9" t="inlineStr">
        <is>
          <t>P1</t>
        </is>
      </c>
      <c r="O9" t="inlineStr">
        <is>
          <t>High Opening Stock (1,466) + Supply (196) exceeds Max Stock (558) vs Demand (70).</t>
        </is>
      </c>
      <c r="P9" t="inlineStr">
        <is>
          <t>Opening inventory of 1466 and supply of 196 exceed the demand of 70, resulting in a projected surplus of 1592. This inventory levels violates the maximum stock threshold of 558 units by 1034 units, increasing holding risk.</t>
        </is>
      </c>
    </row>
    <row r="10">
      <c r="A10" t="inlineStr">
        <is>
          <t>2026-04-17</t>
        </is>
      </c>
      <c r="B10" t="inlineStr">
        <is>
          <t>BD-24536581-00009</t>
        </is>
      </c>
      <c r="C10" t="inlineStr">
        <is>
          <t>SKU_0001</t>
        </is>
      </c>
      <c r="D10" t="inlineStr">
        <is>
          <t>DC1</t>
        </is>
      </c>
      <c r="E10" t="n">
        <v>12</v>
      </c>
      <c r="F10" t="inlineStr"/>
      <c r="G10" t="inlineStr"/>
      <c r="H10" t="inlineStr"/>
      <c r="I10" t="inlineStr"/>
      <c r="J10" t="inlineStr"/>
      <c r="K10" t="n">
        <v>186</v>
      </c>
      <c r="L10" t="n">
        <v>1040</v>
      </c>
      <c r="M10" t="inlineStr">
        <is>
          <t>High</t>
        </is>
      </c>
      <c r="N10" t="inlineStr">
        <is>
          <t>P1</t>
        </is>
      </c>
      <c r="O10" t="inlineStr">
        <is>
          <t>High Opening Stock (1,592) + Supply (66) exceeds Max Stock (558) vs Demand (60).</t>
        </is>
      </c>
      <c r="P10" t="inlineStr">
        <is>
          <t>Opening inventory of 1592 and supply of 0 exceed the demand of 60, resulting in a projected surplus of 1598. This inventory levels violates the maximum stock threshold of 558 units by 1040 units, increasing holding risk.</t>
        </is>
      </c>
    </row>
    <row r="11">
      <c r="A11" t="inlineStr">
        <is>
          <t>2026-04-17</t>
        </is>
      </c>
      <c r="B11" t="inlineStr">
        <is>
          <t>BD-24536581-00010</t>
        </is>
      </c>
      <c r="C11" t="inlineStr">
        <is>
          <t>SKU_0001</t>
        </is>
      </c>
      <c r="D11" t="inlineStr">
        <is>
          <t>DC2</t>
        </is>
      </c>
      <c r="E11" t="n">
        <v>4</v>
      </c>
      <c r="F11" t="inlineStr"/>
      <c r="G11" t="inlineStr"/>
      <c r="H11" t="inlineStr"/>
      <c r="I11" t="inlineStr"/>
      <c r="J11" t="inlineStr"/>
      <c r="K11" t="n">
        <v>57</v>
      </c>
      <c r="L11" t="n">
        <v>211</v>
      </c>
      <c r="M11" t="inlineStr">
        <is>
          <t>High</t>
        </is>
      </c>
      <c r="N11" t="inlineStr">
        <is>
          <t>P1</t>
        </is>
      </c>
      <c r="O11" t="inlineStr">
        <is>
          <t>Opening Stock (321) + Aggressive Supply (311) exceeds Forecast (54).</t>
        </is>
      </c>
      <c r="P11" t="inlineStr">
        <is>
          <t>Opening inventory of 321 and supply of 311 exceed the demand of 54, resulting in a projected surplus of 578. This inventory levels violates the maximum stock threshold of 367 units by 211 units, increasing holding risk.</t>
        </is>
      </c>
    </row>
    <row r="12">
      <c r="A12" t="inlineStr">
        <is>
          <t>2026-04-17</t>
        </is>
      </c>
      <c r="B12" t="inlineStr">
        <is>
          <t>BD-24536581-00011</t>
        </is>
      </c>
      <c r="C12" t="inlineStr">
        <is>
          <t>SKU_0001</t>
        </is>
      </c>
      <c r="D12" t="inlineStr">
        <is>
          <t>DC2</t>
        </is>
      </c>
      <c r="E12" t="n">
        <v>5</v>
      </c>
      <c r="F12" t="inlineStr"/>
      <c r="G12" t="inlineStr"/>
      <c r="H12" t="inlineStr"/>
      <c r="I12" t="inlineStr"/>
      <c r="J12" t="inlineStr"/>
      <c r="K12" t="n">
        <v>73</v>
      </c>
      <c r="L12" t="n">
        <v>268</v>
      </c>
      <c r="M12" t="inlineStr">
        <is>
          <t>High</t>
        </is>
      </c>
      <c r="N12" t="inlineStr">
        <is>
          <t>P1</t>
        </is>
      </c>
      <c r="O12" t="inlineStr">
        <is>
          <t>High Opening Stock (578) + Supply (109) exceeds Max Stock (367) vs Demand (52).</t>
        </is>
      </c>
      <c r="P12" t="inlineStr">
        <is>
          <t>Opening inventory of 578 and supply of 0 exceed the demand of 52, resulting in a projected surplus of 635. This inventory levels violates the maximum stock threshold of 367 units by 268 units, increasing holding risk.</t>
        </is>
      </c>
    </row>
    <row r="13">
      <c r="A13" t="inlineStr">
        <is>
          <t>2026-04-17</t>
        </is>
      </c>
      <c r="B13" t="inlineStr">
        <is>
          <t>BD-24536581-00012</t>
        </is>
      </c>
      <c r="C13" t="inlineStr">
        <is>
          <t>SKU_0001</t>
        </is>
      </c>
      <c r="D13" t="inlineStr">
        <is>
          <t>DC2</t>
        </is>
      </c>
      <c r="E13" t="n">
        <v>6</v>
      </c>
      <c r="F13" t="inlineStr"/>
      <c r="G13" t="inlineStr"/>
      <c r="H13" t="inlineStr"/>
      <c r="I13" t="inlineStr"/>
      <c r="J13" t="inlineStr"/>
      <c r="K13" t="n">
        <v>60</v>
      </c>
      <c r="L13" t="n">
        <v>221</v>
      </c>
      <c r="M13" t="inlineStr">
        <is>
          <t>High</t>
        </is>
      </c>
      <c r="N13" t="inlineStr">
        <is>
          <t>P1</t>
        </is>
      </c>
      <c r="O13" t="inlineStr">
        <is>
          <t>High Opening Stock (635) + Supply (0) exceeds Max Stock (367) vs Demand (47).</t>
        </is>
      </c>
      <c r="P13" t="inlineStr">
        <is>
          <t>Opening inventory of 635 and supply of 0 exceed the demand of 47, resulting in a projected surplus of 588. This inventory levels violates the maximum stock threshold of 367 units by 221 units, increasing holding risk.</t>
        </is>
      </c>
    </row>
    <row r="14">
      <c r="A14" t="inlineStr">
        <is>
          <t>2026-04-17</t>
        </is>
      </c>
      <c r="B14" t="inlineStr">
        <is>
          <t>BD-24536581-00013</t>
        </is>
      </c>
      <c r="C14" t="inlineStr">
        <is>
          <t>SKU_0001</t>
        </is>
      </c>
      <c r="D14" t="inlineStr">
        <is>
          <t>DC2</t>
        </is>
      </c>
      <c r="E14" t="n">
        <v>7</v>
      </c>
      <c r="F14" t="inlineStr"/>
      <c r="G14" t="inlineStr"/>
      <c r="H14" t="inlineStr"/>
      <c r="I14" t="inlineStr"/>
      <c r="J14" t="inlineStr"/>
      <c r="K14" t="n">
        <v>48</v>
      </c>
      <c r="L14" t="n">
        <v>177</v>
      </c>
      <c r="M14" t="inlineStr">
        <is>
          <t>High</t>
        </is>
      </c>
      <c r="N14" t="inlineStr">
        <is>
          <t>P1</t>
        </is>
      </c>
      <c r="O14" t="inlineStr">
        <is>
          <t>High Opening Stock (588) + Supply (0) exceeds Max Stock (367) vs Demand (44).</t>
        </is>
      </c>
      <c r="P14" t="inlineStr">
        <is>
          <t>Opening inventory of 588 and supply of 0 exceed the demand of 44, resulting in a projected surplus of 544. This inventory levels violates the maximum stock threshold of 367 units by 177 units, increasing holding risk.</t>
        </is>
      </c>
    </row>
    <row r="15">
      <c r="A15" t="inlineStr">
        <is>
          <t>2026-04-17</t>
        </is>
      </c>
      <c r="B15" t="inlineStr">
        <is>
          <t>BD-24536581-00014</t>
        </is>
      </c>
      <c r="C15" t="inlineStr">
        <is>
          <t>SKU_0001</t>
        </is>
      </c>
      <c r="D15" t="inlineStr">
        <is>
          <t>DC2</t>
        </is>
      </c>
      <c r="E15" t="n">
        <v>8</v>
      </c>
      <c r="F15" t="inlineStr"/>
      <c r="G15" t="inlineStr"/>
      <c r="H15" t="inlineStr"/>
      <c r="I15" t="inlineStr"/>
      <c r="J15" t="inlineStr"/>
      <c r="K15" t="n">
        <v>52</v>
      </c>
      <c r="L15" t="n">
        <v>192</v>
      </c>
      <c r="M15" t="inlineStr">
        <is>
          <t>High</t>
        </is>
      </c>
      <c r="N15" t="inlineStr">
        <is>
          <t>P1</t>
        </is>
      </c>
      <c r="O15" t="inlineStr">
        <is>
          <t>High Opening Stock (544) + Supply (74) exceeds Max Stock (367) vs Demand (59).</t>
        </is>
      </c>
      <c r="P15" t="inlineStr">
        <is>
          <t>Opening inventory of 544 and supply of 74 exceed the demand of 59, resulting in a projected surplus of 559. This inventory levels violates the maximum stock threshold of 367 units by 192 units, increasing holding risk.</t>
        </is>
      </c>
    </row>
    <row r="16">
      <c r="A16" t="inlineStr">
        <is>
          <t>2026-04-17</t>
        </is>
      </c>
      <c r="B16" t="inlineStr">
        <is>
          <t>BD-24536581-00015</t>
        </is>
      </c>
      <c r="C16" t="inlineStr">
        <is>
          <t>SKU_0001</t>
        </is>
      </c>
      <c r="D16" t="inlineStr">
        <is>
          <t>DC2</t>
        </is>
      </c>
      <c r="E16" t="n">
        <v>9</v>
      </c>
      <c r="F16" t="inlineStr"/>
      <c r="G16" t="inlineStr"/>
      <c r="H16" t="inlineStr"/>
      <c r="I16" t="inlineStr"/>
      <c r="J16" t="inlineStr"/>
      <c r="K16" t="n">
        <v>113</v>
      </c>
      <c r="L16" t="n">
        <v>418</v>
      </c>
      <c r="M16" t="inlineStr">
        <is>
          <t>High</t>
        </is>
      </c>
      <c r="N16" t="inlineStr">
        <is>
          <t>P1</t>
        </is>
      </c>
      <c r="O16" t="inlineStr">
        <is>
          <t>High Opening Stock (559) + Supply (271) exceeds Max Stock (367) vs Demand (45).</t>
        </is>
      </c>
      <c r="P16" t="inlineStr">
        <is>
          <t>Opening inventory of 559 and supply of 271 exceed the demand of 45, resulting in a projected surplus of 785. This inventory levels violates the maximum stock threshold of 367 units by 418 units, increasing holding risk.</t>
        </is>
      </c>
    </row>
    <row r="17">
      <c r="A17" t="inlineStr">
        <is>
          <t>2026-04-17</t>
        </is>
      </c>
      <c r="B17" t="inlineStr">
        <is>
          <t>BD-24536581-00016</t>
        </is>
      </c>
      <c r="C17" t="inlineStr">
        <is>
          <t>SKU_0001</t>
        </is>
      </c>
      <c r="D17" t="inlineStr">
        <is>
          <t>DC2</t>
        </is>
      </c>
      <c r="E17" t="n">
        <v>10</v>
      </c>
      <c r="F17" t="inlineStr"/>
      <c r="G17" t="inlineStr"/>
      <c r="H17" t="inlineStr"/>
      <c r="I17" t="inlineStr"/>
      <c r="J17" t="inlineStr"/>
      <c r="K17" t="n">
        <v>124</v>
      </c>
      <c r="L17" t="n">
        <v>457</v>
      </c>
      <c r="M17" t="inlineStr">
        <is>
          <t>High</t>
        </is>
      </c>
      <c r="N17" t="inlineStr">
        <is>
          <t>P1</t>
        </is>
      </c>
      <c r="O17" t="inlineStr">
        <is>
          <t>High Opening Stock (785) + Supply (81) exceeds Max Stock (367) vs Demand (42).</t>
        </is>
      </c>
      <c r="P17" t="inlineStr">
        <is>
          <t>Opening inventory of 785 and supply of 0 exceed the demand of 42, resulting in a projected surplus of 824. This inventory levels violates the maximum stock threshold of 367 units by 457 units, increasing holding risk.</t>
        </is>
      </c>
    </row>
    <row r="18">
      <c r="A18" t="inlineStr">
        <is>
          <t>2026-04-17</t>
        </is>
      </c>
      <c r="B18" t="inlineStr">
        <is>
          <t>BD-24536581-00017</t>
        </is>
      </c>
      <c r="C18" t="inlineStr">
        <is>
          <t>SKU_0001</t>
        </is>
      </c>
      <c r="D18" t="inlineStr">
        <is>
          <t>DC2</t>
        </is>
      </c>
      <c r="E18" t="n">
        <v>11</v>
      </c>
      <c r="F18" t="inlineStr"/>
      <c r="G18" t="inlineStr"/>
      <c r="H18" t="inlineStr"/>
      <c r="I18" t="inlineStr"/>
      <c r="J18" t="inlineStr"/>
      <c r="K18" t="n">
        <v>138</v>
      </c>
      <c r="L18" t="n">
        <v>507</v>
      </c>
      <c r="M18" t="inlineStr">
        <is>
          <t>High</t>
        </is>
      </c>
      <c r="N18" t="inlineStr">
        <is>
          <t>P1</t>
        </is>
      </c>
      <c r="O18" t="inlineStr">
        <is>
          <t>High Opening Stock (824) + Supply (87) exceeds Max Stock (367) vs Demand (37).</t>
        </is>
      </c>
      <c r="P18" t="inlineStr">
        <is>
          <t>Opening inventory of 824 and supply of 87 exceed the demand of 37, resulting in a projected surplus of 874. This inventory levels violates the maximum stock threshold of 367 units by 507 units, increasing holding risk.</t>
        </is>
      </c>
    </row>
    <row r="19">
      <c r="A19" t="inlineStr">
        <is>
          <t>2026-04-17</t>
        </is>
      </c>
      <c r="B19" t="inlineStr">
        <is>
          <t>BD-24536581-00018</t>
        </is>
      </c>
      <c r="C19" t="inlineStr">
        <is>
          <t>SKU_0001</t>
        </is>
      </c>
      <c r="D19" t="inlineStr">
        <is>
          <t>DC2</t>
        </is>
      </c>
      <c r="E19" t="n">
        <v>12</v>
      </c>
      <c r="F19" t="inlineStr"/>
      <c r="G19" t="inlineStr"/>
      <c r="H19" t="inlineStr"/>
      <c r="I19" t="inlineStr"/>
      <c r="J19" t="inlineStr"/>
      <c r="K19" t="n">
        <v>159</v>
      </c>
      <c r="L19" t="n">
        <v>586</v>
      </c>
      <c r="M19" t="inlineStr">
        <is>
          <t>High</t>
        </is>
      </c>
      <c r="N19" t="inlineStr">
        <is>
          <t>P1</t>
        </is>
      </c>
      <c r="O19" t="inlineStr">
        <is>
          <t>High Opening Stock (874) + Supply (130) exceeds Max Stock (367) vs Demand (51).</t>
        </is>
      </c>
      <c r="P19" t="inlineStr">
        <is>
          <t>Opening inventory of 874 and supply of 130 exceed the demand of 51, resulting in a projected surplus of 953. This inventory levels violates the maximum stock threshold of 367 units by 586 units, increasing holding risk.</t>
        </is>
      </c>
    </row>
    <row r="20">
      <c r="A20" t="inlineStr">
        <is>
          <t>2026-04-17</t>
        </is>
      </c>
      <c r="B20" t="inlineStr">
        <is>
          <t>BD-24536581-00019</t>
        </is>
      </c>
      <c r="C20" t="inlineStr">
        <is>
          <t>SKU_0001</t>
        </is>
      </c>
      <c r="D20" t="inlineStr">
        <is>
          <t>DC4</t>
        </is>
      </c>
      <c r="E20" t="n">
        <v>1</v>
      </c>
      <c r="F20" t="inlineStr"/>
      <c r="G20" t="inlineStr"/>
      <c r="H20" t="inlineStr"/>
      <c r="I20" t="inlineStr"/>
      <c r="J20" t="inlineStr"/>
      <c r="K20" t="n">
        <v>36</v>
      </c>
      <c r="L20" t="n">
        <v>52</v>
      </c>
      <c r="M20" t="inlineStr">
        <is>
          <t>High</t>
        </is>
      </c>
      <c r="N20" t="inlineStr">
        <is>
          <t>P1</t>
        </is>
      </c>
      <c r="O20" t="inlineStr">
        <is>
          <t>High Opening Stock (169) + Supply (44) exceeds Max Stock (143) vs Demand (18).</t>
        </is>
      </c>
      <c r="P20" t="inlineStr">
        <is>
          <t>Opening inventory of 169 and supply of 44 exceed the demand of 18, resulting in a projected surplus of 195. This inventory levels violates the maximum stock threshold of 143 units by 52 units, increasing holding risk.</t>
        </is>
      </c>
    </row>
    <row r="21">
      <c r="A21" t="inlineStr">
        <is>
          <t>2026-04-17</t>
        </is>
      </c>
      <c r="B21" t="inlineStr">
        <is>
          <t>BD-24536581-00020</t>
        </is>
      </c>
      <c r="C21" t="inlineStr">
        <is>
          <t>SKU_0001</t>
        </is>
      </c>
      <c r="D21" t="inlineStr">
        <is>
          <t>DC4</t>
        </is>
      </c>
      <c r="E21" t="n">
        <v>2</v>
      </c>
      <c r="F21" t="inlineStr"/>
      <c r="G21" t="inlineStr"/>
      <c r="H21" t="inlineStr"/>
      <c r="I21" t="inlineStr"/>
      <c r="J21" t="inlineStr"/>
      <c r="K21" t="n">
        <v>54</v>
      </c>
      <c r="L21" t="n">
        <v>78</v>
      </c>
      <c r="M21" t="inlineStr">
        <is>
          <t>High</t>
        </is>
      </c>
      <c r="N21" t="inlineStr">
        <is>
          <t>P1</t>
        </is>
      </c>
      <c r="O21" t="inlineStr">
        <is>
          <t>High Opening Stock (195) + Supply (43) exceeds Max Stock (143) vs Demand (17).</t>
        </is>
      </c>
      <c r="P21" t="inlineStr">
        <is>
          <t>Opening inventory of 195 and supply of 0 exceed the demand of 17, resulting in a projected surplus of 221. This inventory levels violates the maximum stock threshold of 143 units by 78 units, increasing holding risk.</t>
        </is>
      </c>
    </row>
    <row r="22">
      <c r="A22" t="inlineStr">
        <is>
          <t>2026-04-17</t>
        </is>
      </c>
      <c r="B22" t="inlineStr">
        <is>
          <t>BD-24536581-00021</t>
        </is>
      </c>
      <c r="C22" t="inlineStr">
        <is>
          <t>SKU_0001</t>
        </is>
      </c>
      <c r="D22" t="inlineStr">
        <is>
          <t>DC4</t>
        </is>
      </c>
      <c r="E22" t="n">
        <v>3</v>
      </c>
      <c r="F22" t="inlineStr"/>
      <c r="G22" t="inlineStr"/>
      <c r="H22" t="inlineStr"/>
      <c r="I22" t="inlineStr"/>
      <c r="J22" t="inlineStr"/>
      <c r="K22" t="n">
        <v>39</v>
      </c>
      <c r="L22" t="n">
        <v>56</v>
      </c>
      <c r="M22" t="inlineStr">
        <is>
          <t>High</t>
        </is>
      </c>
      <c r="N22" t="inlineStr">
        <is>
          <t>P1</t>
        </is>
      </c>
      <c r="O22" t="inlineStr">
        <is>
          <t>High Opening Stock (221) + Supply (0) exceeds Max Stock (143) vs Demand (22).</t>
        </is>
      </c>
      <c r="P22" t="inlineStr">
        <is>
          <t>Opening inventory of 221 and supply of 0 exceed the demand of 22, resulting in a projected surplus of 199. This inventory levels violates the maximum stock threshold of 143 units by 56 units, increasing holding risk.</t>
        </is>
      </c>
    </row>
    <row r="23">
      <c r="A23" t="inlineStr">
        <is>
          <t>2026-04-17</t>
        </is>
      </c>
      <c r="B23" t="inlineStr">
        <is>
          <t>BD-24536581-00022</t>
        </is>
      </c>
      <c r="C23" t="inlineStr">
        <is>
          <t>SKU_0001</t>
        </is>
      </c>
      <c r="D23" t="inlineStr">
        <is>
          <t>DC4</t>
        </is>
      </c>
      <c r="E23" t="n">
        <v>4</v>
      </c>
      <c r="F23" t="inlineStr"/>
      <c r="G23" t="inlineStr"/>
      <c r="H23" t="inlineStr"/>
      <c r="I23" t="inlineStr"/>
      <c r="J23" t="inlineStr"/>
      <c r="K23" t="n">
        <v>64</v>
      </c>
      <c r="L23" t="n">
        <v>92</v>
      </c>
      <c r="M23" t="inlineStr">
        <is>
          <t>High</t>
        </is>
      </c>
      <c r="N23" t="inlineStr">
        <is>
          <t>P1</t>
        </is>
      </c>
      <c r="O23" t="inlineStr">
        <is>
          <t>High Opening Stock (199) + Supply (48) exceeds Max Stock (143) vs Demand (12).</t>
        </is>
      </c>
      <c r="P23" t="inlineStr">
        <is>
          <t>Opening inventory of 199 and supply of 48 exceed the demand of 12, resulting in a projected surplus of 235. This inventory levels violates the maximum stock threshold of 143 units by 92 units, increasing holding risk.</t>
        </is>
      </c>
    </row>
    <row r="24">
      <c r="A24" t="inlineStr">
        <is>
          <t>2026-04-17</t>
        </is>
      </c>
      <c r="B24" t="inlineStr">
        <is>
          <t>BD-24536581-00023</t>
        </is>
      </c>
      <c r="C24" t="inlineStr">
        <is>
          <t>SKU_0001</t>
        </is>
      </c>
      <c r="D24" t="inlineStr">
        <is>
          <t>DC4</t>
        </is>
      </c>
      <c r="E24" t="n">
        <v>5</v>
      </c>
      <c r="F24" t="inlineStr"/>
      <c r="G24" t="inlineStr"/>
      <c r="H24" t="inlineStr"/>
      <c r="I24" t="inlineStr"/>
      <c r="J24" t="inlineStr"/>
      <c r="K24" t="n">
        <v>83</v>
      </c>
      <c r="L24" t="n">
        <v>120</v>
      </c>
      <c r="M24" t="inlineStr">
        <is>
          <t>High</t>
        </is>
      </c>
      <c r="N24" t="inlineStr">
        <is>
          <t>P1</t>
        </is>
      </c>
      <c r="O24" t="inlineStr">
        <is>
          <t>High Opening Stock (235) + Supply (42) exceeds Max Stock (143) vs Demand (14).</t>
        </is>
      </c>
      <c r="P24" t="inlineStr">
        <is>
          <t>Opening inventory of 235 and supply of 42 exceed the demand of 14, resulting in a projected surplus of 263. This inventory levels violates the maximum stock threshold of 143 units by 120 units, increasing holding risk.</t>
        </is>
      </c>
    </row>
    <row r="25">
      <c r="A25" t="inlineStr">
        <is>
          <t>2026-04-17</t>
        </is>
      </c>
      <c r="B25" t="inlineStr">
        <is>
          <t>BD-24536581-00024</t>
        </is>
      </c>
      <c r="C25" t="inlineStr">
        <is>
          <t>SKU_0001</t>
        </is>
      </c>
      <c r="D25" t="inlineStr">
        <is>
          <t>DC4</t>
        </is>
      </c>
      <c r="E25" t="n">
        <v>6</v>
      </c>
      <c r="F25" t="inlineStr"/>
      <c r="G25" t="inlineStr"/>
      <c r="H25" t="inlineStr"/>
      <c r="I25" t="inlineStr"/>
      <c r="J25" t="inlineStr"/>
      <c r="K25" t="n">
        <v>97</v>
      </c>
      <c r="L25" t="n">
        <v>140</v>
      </c>
      <c r="M25" t="inlineStr">
        <is>
          <t>High</t>
        </is>
      </c>
      <c r="N25" t="inlineStr">
        <is>
          <t>P1</t>
        </is>
      </c>
      <c r="O25" t="inlineStr">
        <is>
          <t>High Opening Stock (263) + Supply (35) exceeds Max Stock (143) vs Demand (15).</t>
        </is>
      </c>
      <c r="P25" t="inlineStr">
        <is>
          <t>Opening inventory of 263 and supply of 0 exceed the demand of 15, resulting in a projected surplus of 283. This inventory levels violates the maximum stock threshold of 143 units by 140 units, increasing holding risk.</t>
        </is>
      </c>
    </row>
    <row r="26">
      <c r="A26" t="inlineStr">
        <is>
          <t>2026-04-17</t>
        </is>
      </c>
      <c r="B26" t="inlineStr">
        <is>
          <t>BD-24536581-00025</t>
        </is>
      </c>
      <c r="C26" t="inlineStr">
        <is>
          <t>SKU_0001</t>
        </is>
      </c>
      <c r="D26" t="inlineStr">
        <is>
          <t>DC4</t>
        </is>
      </c>
      <c r="E26" t="n">
        <v>7</v>
      </c>
      <c r="F26" t="inlineStr"/>
      <c r="G26" t="inlineStr"/>
      <c r="H26" t="inlineStr"/>
      <c r="I26" t="inlineStr"/>
      <c r="J26" t="inlineStr"/>
      <c r="K26" t="n">
        <v>115</v>
      </c>
      <c r="L26" t="n">
        <v>165</v>
      </c>
      <c r="M26" t="inlineStr">
        <is>
          <t>High</t>
        </is>
      </c>
      <c r="N26" t="inlineStr">
        <is>
          <t>P1</t>
        </is>
      </c>
      <c r="O26" t="inlineStr">
        <is>
          <t>High Opening Stock (283) + Supply (45) exceeds Max Stock (143) vs Demand (20).</t>
        </is>
      </c>
      <c r="P26" t="inlineStr">
        <is>
          <t>Opening inventory of 283 and supply of 45 exceed the demand of 20, resulting in a projected surplus of 308. This inventory levels violates the maximum stock threshold of 143 units by 165 units, increasing holding risk.</t>
        </is>
      </c>
    </row>
    <row r="27">
      <c r="A27" t="inlineStr">
        <is>
          <t>2026-04-17</t>
        </is>
      </c>
      <c r="B27" t="inlineStr">
        <is>
          <t>BD-24536581-00026</t>
        </is>
      </c>
      <c r="C27" t="inlineStr">
        <is>
          <t>SKU_0001</t>
        </is>
      </c>
      <c r="D27" t="inlineStr">
        <is>
          <t>DC4</t>
        </is>
      </c>
      <c r="E27" t="n">
        <v>8</v>
      </c>
      <c r="F27" t="inlineStr"/>
      <c r="G27" t="inlineStr"/>
      <c r="H27" t="inlineStr"/>
      <c r="I27" t="inlineStr"/>
      <c r="J27" t="inlineStr"/>
      <c r="K27" t="n">
        <v>106</v>
      </c>
      <c r="L27" t="n">
        <v>152</v>
      </c>
      <c r="M27" t="inlineStr">
        <is>
          <t>High</t>
        </is>
      </c>
      <c r="N27" t="inlineStr">
        <is>
          <t>P1</t>
        </is>
      </c>
      <c r="O27" t="inlineStr">
        <is>
          <t>High Opening Stock (308) + Supply (0) exceeds Max Stock (143) vs Demand (13).</t>
        </is>
      </c>
      <c r="P27" t="inlineStr">
        <is>
          <t>Opening inventory of 308 and supply of 0 exceed the demand of 13, resulting in a projected surplus of 295. This inventory levels violates the maximum stock threshold of 143 units by 152 units, increasing holding risk.</t>
        </is>
      </c>
    </row>
    <row r="28">
      <c r="A28" t="inlineStr">
        <is>
          <t>2026-04-17</t>
        </is>
      </c>
      <c r="B28" t="inlineStr">
        <is>
          <t>BD-24536581-00027</t>
        </is>
      </c>
      <c r="C28" t="inlineStr">
        <is>
          <t>SKU_0001</t>
        </is>
      </c>
      <c r="D28" t="inlineStr">
        <is>
          <t>DC4</t>
        </is>
      </c>
      <c r="E28" t="n">
        <v>9</v>
      </c>
      <c r="F28" t="inlineStr"/>
      <c r="G28" t="inlineStr"/>
      <c r="H28" t="inlineStr"/>
      <c r="I28" t="inlineStr"/>
      <c r="J28" t="inlineStr"/>
      <c r="K28" t="n">
        <v>130</v>
      </c>
      <c r="L28" t="n">
        <v>187</v>
      </c>
      <c r="M28" t="inlineStr">
        <is>
          <t>High</t>
        </is>
      </c>
      <c r="N28" t="inlineStr">
        <is>
          <t>P1</t>
        </is>
      </c>
      <c r="O28" t="inlineStr">
        <is>
          <t>High Opening Stock (295) + Supply (51) exceeds Max Stock (143) vs Demand (16).</t>
        </is>
      </c>
      <c r="P28" t="inlineStr">
        <is>
          <t>Opening inventory of 295 and supply of 51 exceed the demand of 16, resulting in a projected surplus of 330. This inventory levels violates the maximum stock threshold of 143 units by 187 units, increasing holding risk.</t>
        </is>
      </c>
    </row>
    <row r="29">
      <c r="A29" t="inlineStr">
        <is>
          <t>2026-04-17</t>
        </is>
      </c>
      <c r="B29" t="inlineStr">
        <is>
          <t>BD-24536581-00028</t>
        </is>
      </c>
      <c r="C29" t="inlineStr">
        <is>
          <t>SKU_0001</t>
        </is>
      </c>
      <c r="D29" t="inlineStr">
        <is>
          <t>DC4</t>
        </is>
      </c>
      <c r="E29" t="n">
        <v>10</v>
      </c>
      <c r="F29" t="inlineStr"/>
      <c r="G29" t="inlineStr"/>
      <c r="H29" t="inlineStr"/>
      <c r="I29" t="inlineStr"/>
      <c r="J29" t="inlineStr"/>
      <c r="K29" t="n">
        <v>149</v>
      </c>
      <c r="L29" t="n">
        <v>214</v>
      </c>
      <c r="M29" t="inlineStr">
        <is>
          <t>High</t>
        </is>
      </c>
      <c r="N29" t="inlineStr">
        <is>
          <t>P1</t>
        </is>
      </c>
      <c r="O29" t="inlineStr">
        <is>
          <t>High Opening Stock (330) + Supply (41) exceeds Max Stock (143) vs Demand (14).</t>
        </is>
      </c>
      <c r="P29" t="inlineStr">
        <is>
          <t>Opening inventory of 330 and supply of 0 exceed the demand of 14, resulting in a projected surplus of 357. This inventory levels violates the maximum stock threshold of 143 units by 214 units, increasing holding risk.</t>
        </is>
      </c>
    </row>
    <row r="30">
      <c r="A30" t="inlineStr">
        <is>
          <t>2026-04-17</t>
        </is>
      </c>
      <c r="B30" t="inlineStr">
        <is>
          <t>BD-24536581-00029</t>
        </is>
      </c>
      <c r="C30" t="inlineStr">
        <is>
          <t>SKU_0001</t>
        </is>
      </c>
      <c r="D30" t="inlineStr">
        <is>
          <t>DC4</t>
        </is>
      </c>
      <c r="E30" t="n">
        <v>11</v>
      </c>
      <c r="F30" t="inlineStr"/>
      <c r="G30" t="inlineStr"/>
      <c r="H30" t="inlineStr"/>
      <c r="I30" t="inlineStr"/>
      <c r="J30" t="inlineStr"/>
      <c r="K30" t="n">
        <v>151</v>
      </c>
      <c r="L30" t="n">
        <v>217</v>
      </c>
      <c r="M30" t="inlineStr">
        <is>
          <t>High</t>
        </is>
      </c>
      <c r="N30" t="inlineStr">
        <is>
          <t>P1</t>
        </is>
      </c>
      <c r="O30" t="inlineStr">
        <is>
          <t>High Opening Stock (357) + Supply (21) exceeds Max Stock (143) vs Demand (18).</t>
        </is>
      </c>
      <c r="P30" t="inlineStr">
        <is>
          <t>Opening inventory of 357 and supply of 0 exceed the demand of 18, resulting in a projected surplus of 360. This inventory levels violates the maximum stock threshold of 143 units by 217 units, increasing holding risk.</t>
        </is>
      </c>
    </row>
    <row r="31">
      <c r="A31" t="inlineStr">
        <is>
          <t>2026-04-17</t>
        </is>
      </c>
      <c r="B31" t="inlineStr">
        <is>
          <t>BD-24536581-00030</t>
        </is>
      </c>
      <c r="C31" t="inlineStr">
        <is>
          <t>SKU_0001</t>
        </is>
      </c>
      <c r="D31" t="inlineStr">
        <is>
          <t>DC4</t>
        </is>
      </c>
      <c r="E31" t="n">
        <v>12</v>
      </c>
      <c r="F31" t="inlineStr"/>
      <c r="G31" t="inlineStr"/>
      <c r="H31" t="inlineStr"/>
      <c r="I31" t="inlineStr"/>
      <c r="J31" t="inlineStr"/>
      <c r="K31" t="n">
        <v>136</v>
      </c>
      <c r="L31" t="n">
        <v>195</v>
      </c>
      <c r="M31" t="inlineStr">
        <is>
          <t>High</t>
        </is>
      </c>
      <c r="N31" t="inlineStr">
        <is>
          <t>P1</t>
        </is>
      </c>
      <c r="O31" t="inlineStr">
        <is>
          <t>High Opening Stock (360) + Supply (0) exceeds Max Stock (143) vs Demand (22).</t>
        </is>
      </c>
      <c r="P31" t="inlineStr">
        <is>
          <t>Opening inventory of 360 and supply of 0 exceed the demand of 22, resulting in a projected surplus of 338. This inventory levels violates the maximum stock threshold of 143 units by 195 units, increasing holding risk.</t>
        </is>
      </c>
    </row>
    <row r="32">
      <c r="A32" t="inlineStr">
        <is>
          <t>2026-04-17</t>
        </is>
      </c>
      <c r="B32" t="inlineStr">
        <is>
          <t>BD-24536581-00031</t>
        </is>
      </c>
      <c r="C32" t="inlineStr">
        <is>
          <t>SKU_0001</t>
        </is>
      </c>
      <c r="D32" t="inlineStr">
        <is>
          <t>F1</t>
        </is>
      </c>
      <c r="E32" t="n">
        <v>4</v>
      </c>
      <c r="F32" t="inlineStr"/>
      <c r="G32" t="inlineStr"/>
      <c r="H32" t="inlineStr"/>
      <c r="I32" t="inlineStr"/>
      <c r="J32" t="inlineStr"/>
      <c r="K32" t="n">
        <v>38</v>
      </c>
      <c r="L32" t="n">
        <v>1059</v>
      </c>
      <c r="M32" t="inlineStr">
        <is>
          <t>High</t>
        </is>
      </c>
      <c r="N32" t="inlineStr">
        <is>
          <t>P2</t>
        </is>
      </c>
      <c r="O32" t="inlineStr">
        <is>
          <t>Opening Stock (2,133) + Aggressive Supply (2,112) exceeds Forecast (443).</t>
        </is>
      </c>
      <c r="P32" t="inlineStr">
        <is>
          <t>Opening inventory of 2133 and supply of 2112 exceed the demand of 443, resulting in a projected surplus of 3802. This inventory levels violates the maximum stock threshold of 2743 units by 1059 units, increasing holding risk.</t>
        </is>
      </c>
    </row>
    <row r="33">
      <c r="A33" t="inlineStr">
        <is>
          <t>2026-04-17</t>
        </is>
      </c>
      <c r="B33" t="inlineStr">
        <is>
          <t>BD-24536581-00032</t>
        </is>
      </c>
      <c r="C33" t="inlineStr">
        <is>
          <t>SKU_0001</t>
        </is>
      </c>
      <c r="D33" t="inlineStr">
        <is>
          <t>F1</t>
        </is>
      </c>
      <c r="E33" t="n">
        <v>5</v>
      </c>
      <c r="F33" t="inlineStr"/>
      <c r="G33" t="inlineStr"/>
      <c r="H33" t="inlineStr"/>
      <c r="I33" t="inlineStr"/>
      <c r="J33" t="inlineStr"/>
      <c r="K33" t="n">
        <v>33</v>
      </c>
      <c r="L33" t="n">
        <v>907</v>
      </c>
      <c r="M33" t="inlineStr">
        <is>
          <t>High</t>
        </is>
      </c>
      <c r="N33" t="inlineStr">
        <is>
          <t>P2</t>
        </is>
      </c>
      <c r="O33" t="inlineStr">
        <is>
          <t>High Opening Stock (3,802) + Supply (0) exceeds Max Stock (2,743) vs Demand (152).</t>
        </is>
      </c>
      <c r="P33" t="inlineStr">
        <is>
          <t>Opening inventory of 3802 and supply of 0 exceed the demand of 152, resulting in a projected surplus of 3650. This inventory levels violates the maximum stock threshold of 2743 units by 907 units, increasing holding risk.</t>
        </is>
      </c>
    </row>
    <row r="34">
      <c r="A34" t="inlineStr">
        <is>
          <t>2026-04-17</t>
        </is>
      </c>
      <c r="B34" t="inlineStr">
        <is>
          <t>BD-24536581-00033</t>
        </is>
      </c>
      <c r="C34" t="inlineStr">
        <is>
          <t>SKU_0001</t>
        </is>
      </c>
      <c r="D34" t="inlineStr">
        <is>
          <t>F1</t>
        </is>
      </c>
      <c r="E34" t="n">
        <v>6</v>
      </c>
      <c r="F34" t="inlineStr"/>
      <c r="G34" t="inlineStr"/>
      <c r="H34" t="inlineStr"/>
      <c r="I34" t="inlineStr"/>
      <c r="J34" t="inlineStr"/>
      <c r="K34" t="n">
        <v>7</v>
      </c>
      <c r="L34" t="n">
        <v>202</v>
      </c>
      <c r="M34" t="inlineStr">
        <is>
          <t>Low</t>
        </is>
      </c>
      <c r="N34" t="inlineStr">
        <is>
          <t>P3</t>
        </is>
      </c>
      <c r="O34" t="inlineStr">
        <is>
          <t>High Opening Stock (3,650) + Supply (0) exceeds Max Stock (2,743) vs Demand (705).</t>
        </is>
      </c>
      <c r="P34" t="inlineStr">
        <is>
          <t>Opening inventory of 3650 and supply of 0 exceed the demand of 705, resulting in a projected surplus of 2945. This inventory levels violates the maximum stock threshold of 2743 units by 202 units, increasing holding risk.</t>
        </is>
      </c>
    </row>
    <row r="35">
      <c r="A35" t="inlineStr">
        <is>
          <t>2026-04-17</t>
        </is>
      </c>
      <c r="B35" t="inlineStr">
        <is>
          <t>BD-24536581-00034</t>
        </is>
      </c>
      <c r="C35" t="inlineStr">
        <is>
          <t>SKU_0001</t>
        </is>
      </c>
      <c r="D35" t="inlineStr">
        <is>
          <t>F1</t>
        </is>
      </c>
      <c r="E35" t="n">
        <v>10</v>
      </c>
      <c r="F35" t="inlineStr"/>
      <c r="G35" t="inlineStr"/>
      <c r="H35" t="inlineStr"/>
      <c r="I35" t="inlineStr"/>
      <c r="J35" t="inlineStr"/>
      <c r="K35" t="n">
        <v>28</v>
      </c>
      <c r="L35" t="n">
        <v>787</v>
      </c>
      <c r="M35" t="inlineStr">
        <is>
          <t>High</t>
        </is>
      </c>
      <c r="N35" t="inlineStr">
        <is>
          <t>P2</t>
        </is>
      </c>
      <c r="O35" t="inlineStr">
        <is>
          <t>Opening Stock (2,421) + Aggressive Supply (2,222) exceeds Forecast (1,113).</t>
        </is>
      </c>
      <c r="P35" t="inlineStr">
        <is>
          <t>Opening inventory of 2421 and supply of 2222 exceed the demand of 1113, resulting in a projected surplus of 3530. This inventory levels violates the maximum stock threshold of 2743 units by 787 units, increasing holding risk.</t>
        </is>
      </c>
    </row>
    <row r="36">
      <c r="A36" t="inlineStr">
        <is>
          <t>2026-04-17</t>
        </is>
      </c>
      <c r="B36" t="inlineStr">
        <is>
          <t>BD-24536581-00035</t>
        </is>
      </c>
      <c r="C36" t="inlineStr">
        <is>
          <t>SKU_0001</t>
        </is>
      </c>
      <c r="D36" t="inlineStr">
        <is>
          <t>F1</t>
        </is>
      </c>
      <c r="E36" t="n">
        <v>11</v>
      </c>
      <c r="F36" t="inlineStr"/>
      <c r="G36" t="inlineStr"/>
      <c r="H36" t="inlineStr"/>
      <c r="I36" t="inlineStr"/>
      <c r="J36" t="inlineStr"/>
      <c r="K36" t="n">
        <v>57</v>
      </c>
      <c r="L36" t="n">
        <v>1565</v>
      </c>
      <c r="M36" t="inlineStr">
        <is>
          <t>High</t>
        </is>
      </c>
      <c r="N36" t="inlineStr">
        <is>
          <t>P2</t>
        </is>
      </c>
      <c r="O36" t="inlineStr">
        <is>
          <t>High Opening Stock (3,530) + Supply (1,094) exceeds Max Stock (2,743) vs Demand (316).</t>
        </is>
      </c>
      <c r="P36" t="inlineStr">
        <is>
          <t>Opening inventory of 3530 and supply of 1094 exceed the demand of 316, resulting in a projected surplus of 4308. This inventory levels violates the maximum stock threshold of 2743 units by 1565 units, increasing holding risk.</t>
        </is>
      </c>
    </row>
    <row r="37">
      <c r="A37" t="inlineStr">
        <is>
          <t>2026-04-17</t>
        </is>
      </c>
      <c r="B37" t="inlineStr">
        <is>
          <t>BD-24536581-00036</t>
        </is>
      </c>
      <c r="C37" t="inlineStr">
        <is>
          <t>SKU_0001</t>
        </is>
      </c>
      <c r="D37" t="inlineStr">
        <is>
          <t>F1</t>
        </is>
      </c>
      <c r="E37" t="n">
        <v>12</v>
      </c>
      <c r="F37" t="inlineStr"/>
      <c r="G37" t="inlineStr"/>
      <c r="H37" t="inlineStr"/>
      <c r="I37" t="inlineStr"/>
      <c r="J37" t="inlineStr"/>
      <c r="K37" t="n">
        <v>72</v>
      </c>
      <c r="L37" t="n">
        <v>1985</v>
      </c>
      <c r="M37" t="inlineStr">
        <is>
          <t>High</t>
        </is>
      </c>
      <c r="N37" t="inlineStr">
        <is>
          <t>P2</t>
        </is>
      </c>
      <c r="O37" t="inlineStr">
        <is>
          <t>Opening Stock (4,308) + Inbound Supply (420) vs Zero Demand, exceeds Max Stock (2,743).</t>
        </is>
      </c>
      <c r="P37" t="inlineStr">
        <is>
          <t>Opening inventory of 4308 and supply of 0 exceed the demand of 0, resulting in a projected surplus of 4728. This inventory levels violates the maximum stock threshold of 2743 units by 1985 units, increasing holding risk.</t>
        </is>
      </c>
    </row>
    <row r="38">
      <c r="A38" t="inlineStr">
        <is>
          <t>2026-04-17</t>
        </is>
      </c>
      <c r="B38" t="inlineStr">
        <is>
          <t>BD-24536581-00037</t>
        </is>
      </c>
      <c r="C38" t="inlineStr">
        <is>
          <t>SKU_0002</t>
        </is>
      </c>
      <c r="D38" t="inlineStr">
        <is>
          <t>DC1</t>
        </is>
      </c>
      <c r="E38" t="n">
        <v>1</v>
      </c>
      <c r="F38" t="n">
        <v>63</v>
      </c>
      <c r="G38" t="n">
        <v>177</v>
      </c>
      <c r="H38" t="inlineStr">
        <is>
          <t>High</t>
        </is>
      </c>
      <c r="I38" t="inlineStr">
        <is>
          <t>P1</t>
        </is>
      </c>
      <c r="J38" t="inlineStr">
        <is>
          <t>Opening Stock (385) + Zero Inbound Supply cannot meet Demand (82). Week 1 within 3-week lead time.</t>
        </is>
      </c>
      <c r="K38" t="inlineStr"/>
      <c r="L38" t="inlineStr"/>
      <c r="M38" t="inlineStr"/>
      <c r="N38" t="inlineStr"/>
      <c r="O38" t="inlineStr"/>
      <c r="P38" t="inlineStr">
        <is>
          <t>Opening inventory of 385 and supply of 0 are sufficient to cover the demand of 82. However, the projected closing inventory of 303 falls 177 units below the target safety stock requirement of 480, compromising the critical service level buffer.</t>
        </is>
      </c>
    </row>
    <row r="39">
      <c r="A39" t="inlineStr">
        <is>
          <t>2026-04-17</t>
        </is>
      </c>
      <c r="B39" t="inlineStr">
        <is>
          <t>BD-24536581-00038</t>
        </is>
      </c>
      <c r="C39" t="inlineStr">
        <is>
          <t>SKU_0002</t>
        </is>
      </c>
      <c r="D39" t="inlineStr">
        <is>
          <t>DC1</t>
        </is>
      </c>
      <c r="E39" t="n">
        <v>9</v>
      </c>
      <c r="F39" t="inlineStr"/>
      <c r="G39" t="inlineStr"/>
      <c r="H39" t="inlineStr"/>
      <c r="I39" t="inlineStr"/>
      <c r="J39" t="inlineStr"/>
      <c r="K39" t="n">
        <v>5</v>
      </c>
      <c r="L39" t="n">
        <v>97</v>
      </c>
      <c r="M39" t="inlineStr">
        <is>
          <t>Low</t>
        </is>
      </c>
      <c r="N39" t="inlineStr">
        <is>
          <t>P2</t>
        </is>
      </c>
      <c r="O39" t="inlineStr">
        <is>
          <t>High Opening Stock (2,124) + Supply (0) exceeds Max Stock (1,910) vs Demand (117).</t>
        </is>
      </c>
      <c r="P39" t="inlineStr">
        <is>
          <t>Opening inventory of 2124 and supply of 0 exceed the demand of 117, resulting in a projected surplus of 2007. This inventory levels violates the maximum stock threshold of 1910 units by 97 units, increasing holding risk.</t>
        </is>
      </c>
    </row>
    <row r="40">
      <c r="A40" t="inlineStr">
        <is>
          <t>2026-04-17</t>
        </is>
      </c>
      <c r="B40" t="inlineStr">
        <is>
          <t>BD-24536581-00039</t>
        </is>
      </c>
      <c r="C40" t="inlineStr">
        <is>
          <t>SKU_0002</t>
        </is>
      </c>
      <c r="D40" t="inlineStr">
        <is>
          <t>DC2</t>
        </is>
      </c>
      <c r="E40" t="n">
        <v>6</v>
      </c>
      <c r="F40" t="inlineStr"/>
      <c r="G40" t="inlineStr"/>
      <c r="H40" t="inlineStr"/>
      <c r="I40" t="inlineStr"/>
      <c r="J40" t="inlineStr"/>
      <c r="K40" t="n">
        <v>4</v>
      </c>
      <c r="L40" t="n">
        <v>58</v>
      </c>
      <c r="M40" t="inlineStr">
        <is>
          <t>Low</t>
        </is>
      </c>
      <c r="N40" t="inlineStr">
        <is>
          <t>P3</t>
        </is>
      </c>
      <c r="O40" t="inlineStr">
        <is>
          <t>Opening Stock (1,105) + Aggressive Supply (233) exceeds Forecast (90).</t>
        </is>
      </c>
      <c r="P40" t="inlineStr">
        <is>
          <t>Opening inventory of 1105 and supply of 0 exceed the demand of 90, resulting in a projected surplus of 1248. This inventory levels violates the maximum stock threshold of 1190 units by 58 units, increasing holding risk.</t>
        </is>
      </c>
    </row>
    <row r="41">
      <c r="A41" t="inlineStr">
        <is>
          <t>2026-04-17</t>
        </is>
      </c>
      <c r="B41" t="inlineStr">
        <is>
          <t>BD-24536581-00040</t>
        </is>
      </c>
      <c r="C41" t="inlineStr">
        <is>
          <t>SKU_0002</t>
        </is>
      </c>
      <c r="D41" t="inlineStr">
        <is>
          <t>DC2</t>
        </is>
      </c>
      <c r="E41" t="n">
        <v>9</v>
      </c>
      <c r="F41" t="inlineStr"/>
      <c r="G41" t="inlineStr"/>
      <c r="H41" t="inlineStr"/>
      <c r="I41" t="inlineStr"/>
      <c r="J41" t="inlineStr"/>
      <c r="K41" t="n">
        <v>2</v>
      </c>
      <c r="L41" t="n">
        <v>32</v>
      </c>
      <c r="M41" t="inlineStr">
        <is>
          <t>Low</t>
        </is>
      </c>
      <c r="N41" t="inlineStr">
        <is>
          <t>P3</t>
        </is>
      </c>
      <c r="O41" t="inlineStr">
        <is>
          <t>High Opening Stock (1,318) + Supply (0) exceeds Max Stock (1,190) vs Demand (96).</t>
        </is>
      </c>
      <c r="P41" t="inlineStr">
        <is>
          <t>Opening inventory of 1318 and supply of 0 exceed the demand of 96, resulting in a projected surplus of 1222. This inventory levels violates the maximum stock threshold of 1190 units by 32 units, increasing holding risk.</t>
        </is>
      </c>
    </row>
    <row r="42">
      <c r="A42" t="inlineStr">
        <is>
          <t>2026-04-17</t>
        </is>
      </c>
      <c r="B42" t="inlineStr">
        <is>
          <t>BD-24536581-00041</t>
        </is>
      </c>
      <c r="C42" t="inlineStr">
        <is>
          <t>SKU_0002</t>
        </is>
      </c>
      <c r="D42" t="inlineStr">
        <is>
          <t>DC2</t>
        </is>
      </c>
      <c r="E42" t="n">
        <v>11</v>
      </c>
      <c r="F42" t="inlineStr"/>
      <c r="G42" t="inlineStr"/>
      <c r="H42" t="inlineStr"/>
      <c r="I42" t="inlineStr"/>
      <c r="J42" t="inlineStr"/>
      <c r="K42" t="n">
        <v>4</v>
      </c>
      <c r="L42" t="n">
        <v>48</v>
      </c>
      <c r="M42" t="inlineStr">
        <is>
          <t>Low</t>
        </is>
      </c>
      <c r="N42" t="inlineStr">
        <is>
          <t>P3</t>
        </is>
      </c>
      <c r="O42" t="inlineStr">
        <is>
          <t>Opening Stock (1,117) + Aggressive Supply (211) exceeds Forecast (90).</t>
        </is>
      </c>
      <c r="P42" t="inlineStr">
        <is>
          <t>Opening inventory of 1117 and supply of 0 exceed the demand of 90, resulting in a projected surplus of 1238. This inventory levels violates the maximum stock threshold of 1190 units by 48 units, increasing holding risk.</t>
        </is>
      </c>
    </row>
    <row r="43">
      <c r="A43" t="inlineStr">
        <is>
          <t>2026-04-17</t>
        </is>
      </c>
      <c r="B43" t="inlineStr">
        <is>
          <t>BD-24536581-00042</t>
        </is>
      </c>
      <c r="C43" t="inlineStr">
        <is>
          <t>SKU_0002</t>
        </is>
      </c>
      <c r="D43" t="inlineStr">
        <is>
          <t>DC4</t>
        </is>
      </c>
      <c r="E43" t="n">
        <v>1</v>
      </c>
      <c r="F43" t="n">
        <v>14</v>
      </c>
      <c r="G43" t="n">
        <v>393</v>
      </c>
      <c r="H43" t="inlineStr">
        <is>
          <t>High</t>
        </is>
      </c>
      <c r="I43" t="inlineStr">
        <is>
          <t>P1</t>
        </is>
      </c>
      <c r="J43" t="inlineStr">
        <is>
          <t>Low Opening Stock (35 vs SS 458) + Supply (137) cannot meet Demand (107). Week 1 within 3-week lead time.</t>
        </is>
      </c>
      <c r="K43" t="inlineStr"/>
      <c r="L43" t="inlineStr"/>
      <c r="M43" t="inlineStr"/>
      <c r="N43" t="inlineStr"/>
      <c r="O43" t="inlineStr"/>
      <c r="P43" t="inlineStr">
        <is>
          <t>Opening inventory of 35 and supply of 0 are insufficient to cover the demand of 107, leading to a projected stockout of 72 units and a breach of the 458 unit safety stock target by 530 units.</t>
        </is>
      </c>
    </row>
    <row r="44">
      <c r="A44" t="inlineStr">
        <is>
          <t>2026-04-17</t>
        </is>
      </c>
      <c r="B44" t="inlineStr">
        <is>
          <t>BD-24536581-00043</t>
        </is>
      </c>
      <c r="C44" t="inlineStr">
        <is>
          <t>SKU_0002</t>
        </is>
      </c>
      <c r="D44" t="inlineStr">
        <is>
          <t>DC4</t>
        </is>
      </c>
      <c r="E44" t="n">
        <v>2</v>
      </c>
      <c r="F44" t="n">
        <v>46</v>
      </c>
      <c r="G44" t="n">
        <v>246</v>
      </c>
      <c r="H44" t="inlineStr">
        <is>
          <t>High</t>
        </is>
      </c>
      <c r="I44" t="inlineStr">
        <is>
          <t>P1</t>
        </is>
      </c>
      <c r="J44" t="inlineStr">
        <is>
          <t>Opening Stock (65) + Supply (336) overwhelmed by Demand Surge (189 vs avg 131). Week 2 within 3-week lead time.</t>
        </is>
      </c>
      <c r="K44" t="inlineStr"/>
      <c r="L44" t="inlineStr"/>
      <c r="M44" t="inlineStr"/>
      <c r="N44" t="inlineStr"/>
      <c r="O44" t="inlineStr"/>
      <c r="P44" t="inlineStr">
        <is>
          <t>Opening inventory of 65 and supply of 336 are sufficient to cover the demand of 189. However, the projected closing inventory of 212 falls 246 units below the target safety stock requirement of 458, compromising the critical service level buffer.</t>
        </is>
      </c>
    </row>
    <row r="45">
      <c r="A45" t="inlineStr">
        <is>
          <t>2026-04-17</t>
        </is>
      </c>
      <c r="B45" t="inlineStr">
        <is>
          <t>BD-24536581-00044</t>
        </is>
      </c>
      <c r="C45" t="inlineStr">
        <is>
          <t>SKU_0002</t>
        </is>
      </c>
      <c r="D45" t="inlineStr">
        <is>
          <t>DC4</t>
        </is>
      </c>
      <c r="E45" t="n">
        <v>3</v>
      </c>
      <c r="F45" t="n">
        <v>23</v>
      </c>
      <c r="G45" t="n">
        <v>351</v>
      </c>
      <c r="H45" t="inlineStr">
        <is>
          <t>High</t>
        </is>
      </c>
      <c r="I45" t="inlineStr">
        <is>
          <t>P1</t>
        </is>
      </c>
      <c r="J45" t="inlineStr">
        <is>
          <t>Opening Stock (212) + Zero Inbound Supply cannot meet Demand (105). Week 3 within 3-week lead time.</t>
        </is>
      </c>
      <c r="K45" t="inlineStr"/>
      <c r="L45" t="inlineStr"/>
      <c r="M45" t="inlineStr"/>
      <c r="N45" t="inlineStr"/>
      <c r="O45" t="inlineStr"/>
      <c r="P45" t="inlineStr">
        <is>
          <t>Opening inventory of 212 and supply of 0 are sufficient to cover the demand of 105. However, the projected closing inventory of 107 falls 351 units below the target safety stock requirement of 458, compromising the critical service level buffer.</t>
        </is>
      </c>
    </row>
    <row r="46">
      <c r="A46" t="inlineStr">
        <is>
          <t>2026-04-17</t>
        </is>
      </c>
      <c r="B46" t="inlineStr">
        <is>
          <t>BD-24536581-00045</t>
        </is>
      </c>
      <c r="C46" t="inlineStr">
        <is>
          <t>SKU_0002</t>
        </is>
      </c>
      <c r="D46" t="inlineStr">
        <is>
          <t>DC4</t>
        </is>
      </c>
      <c r="E46" t="n">
        <v>4</v>
      </c>
      <c r="F46" t="n">
        <v>0</v>
      </c>
      <c r="G46" t="n">
        <v>488</v>
      </c>
      <c r="H46" t="inlineStr">
        <is>
          <t>Critical</t>
        </is>
      </c>
      <c r="I46" t="inlineStr">
        <is>
          <t>P1</t>
        </is>
      </c>
      <c r="J46" t="inlineStr">
        <is>
          <t>Opening Stock (107) + Zero Inbound Supply cannot meet Demand (137).</t>
        </is>
      </c>
      <c r="K46" t="inlineStr"/>
      <c r="L46" t="inlineStr"/>
      <c r="M46" t="inlineStr"/>
      <c r="N46" t="inlineStr"/>
      <c r="O46" t="inlineStr"/>
      <c r="P46" t="inlineStr">
        <is>
          <t>Opening inventory of 107 and supply of 0 are insufficient to cover the demand of 137, leading to a projected stockout of 30 units and a breach of the 458 unit safety stock target by 488 units.</t>
        </is>
      </c>
    </row>
    <row r="47">
      <c r="A47" t="inlineStr">
        <is>
          <t>2026-04-17</t>
        </is>
      </c>
      <c r="B47" t="inlineStr">
        <is>
          <t>BD-24536581-00046</t>
        </is>
      </c>
      <c r="C47" t="inlineStr">
        <is>
          <t>SKU_0002</t>
        </is>
      </c>
      <c r="D47" t="inlineStr">
        <is>
          <t>DC4</t>
        </is>
      </c>
      <c r="E47" t="n">
        <v>5</v>
      </c>
      <c r="F47" t="n">
        <v>35</v>
      </c>
      <c r="G47" t="n">
        <v>294</v>
      </c>
      <c r="H47" t="inlineStr">
        <is>
          <t>High</t>
        </is>
      </c>
      <c r="I47" t="inlineStr">
        <is>
          <t>P2</t>
        </is>
      </c>
      <c r="J47" t="inlineStr">
        <is>
          <t>Opening Stock (0) + Supply (334) overwhelmed by Demand Surge (170 vs avg 131).</t>
        </is>
      </c>
      <c r="K47" t="inlineStr"/>
      <c r="L47" t="inlineStr"/>
      <c r="M47" t="inlineStr"/>
      <c r="N47" t="inlineStr"/>
      <c r="O47" t="inlineStr"/>
      <c r="P47" t="inlineStr">
        <is>
          <t>Opening inventory of 0 and supply of 334 are sufficient to cover the demand of 140. However, the projected closing inventory of 164 falls 294 units below the target safety stock requirement of 458, compromising the critical service level buffer.</t>
        </is>
      </c>
    </row>
    <row r="48">
      <c r="A48" t="inlineStr">
        <is>
          <t>2026-04-17</t>
        </is>
      </c>
      <c r="B48" t="inlineStr">
        <is>
          <t>BD-24536581-00047</t>
        </is>
      </c>
      <c r="C48" t="inlineStr">
        <is>
          <t>SKU_0002</t>
        </is>
      </c>
      <c r="D48" t="inlineStr">
        <is>
          <t>DC4</t>
        </is>
      </c>
      <c r="E48" t="n">
        <v>6</v>
      </c>
      <c r="F48" t="n">
        <v>71</v>
      </c>
      <c r="G48" t="n">
        <v>130</v>
      </c>
      <c r="H48" t="inlineStr">
        <is>
          <t>High</t>
        </is>
      </c>
      <c r="I48" t="inlineStr">
        <is>
          <t>P2</t>
        </is>
      </c>
      <c r="J48" t="inlineStr">
        <is>
          <t>Low Opening Stock (164 vs SS 458) + Supply (327) cannot meet Demand (163).</t>
        </is>
      </c>
      <c r="K48" t="inlineStr"/>
      <c r="L48" t="inlineStr"/>
      <c r="M48" t="inlineStr"/>
      <c r="N48" t="inlineStr"/>
      <c r="O48" t="inlineStr"/>
      <c r="P48" t="inlineStr">
        <is>
          <t>Opening inventory of 164 and supply of 0 are sufficient to cover the demand of 163. However, the projected closing inventory of 328 falls 130 units below the target safety stock requirement of 458, compromising the critical service level buffer.</t>
        </is>
      </c>
    </row>
    <row r="49">
      <c r="A49" t="inlineStr">
        <is>
          <t>2026-04-17</t>
        </is>
      </c>
      <c r="B49" t="inlineStr">
        <is>
          <t>BD-24536581-00048</t>
        </is>
      </c>
      <c r="C49" t="inlineStr">
        <is>
          <t>SKU_0002</t>
        </is>
      </c>
      <c r="D49" t="inlineStr">
        <is>
          <t>DC4</t>
        </is>
      </c>
      <c r="E49" t="n">
        <v>7</v>
      </c>
      <c r="F49" t="n">
        <v>37</v>
      </c>
      <c r="G49" t="n">
        <v>286</v>
      </c>
      <c r="H49" t="inlineStr">
        <is>
          <t>High</t>
        </is>
      </c>
      <c r="I49" t="inlineStr">
        <is>
          <t>P2</t>
        </is>
      </c>
      <c r="J49" t="inlineStr">
        <is>
          <t>Opening Stock (328) + Zero Inbound Supply cannot meet Demand (156).</t>
        </is>
      </c>
      <c r="K49" t="inlineStr"/>
      <c r="L49" t="inlineStr"/>
      <c r="M49" t="inlineStr"/>
      <c r="N49" t="inlineStr"/>
      <c r="O49" t="inlineStr"/>
      <c r="P49" t="inlineStr">
        <is>
          <t>Opening inventory of 328 and supply of 0 are sufficient to cover the demand of 156. However, the projected closing inventory of 172 falls 286 units below the target safety stock requirement of 458, compromising the critical service level buffer.</t>
        </is>
      </c>
    </row>
    <row r="50">
      <c r="A50" t="inlineStr">
        <is>
          <t>2026-04-17</t>
        </is>
      </c>
      <c r="B50" t="inlineStr">
        <is>
          <t>BD-24536581-00049</t>
        </is>
      </c>
      <c r="C50" t="inlineStr">
        <is>
          <t>SKU_0002</t>
        </is>
      </c>
      <c r="D50" t="inlineStr">
        <is>
          <t>DC4</t>
        </is>
      </c>
      <c r="E50" t="n">
        <v>8</v>
      </c>
      <c r="F50" t="n">
        <v>10</v>
      </c>
      <c r="G50" t="n">
        <v>409</v>
      </c>
      <c r="H50" t="inlineStr">
        <is>
          <t>High</t>
        </is>
      </c>
      <c r="I50" t="inlineStr">
        <is>
          <t>P2</t>
        </is>
      </c>
      <c r="J50" t="inlineStr">
        <is>
          <t>Opening Stock (172) + Zero Inbound Supply cannot meet Demand (123).</t>
        </is>
      </c>
      <c r="K50" t="inlineStr"/>
      <c r="L50" t="inlineStr"/>
      <c r="M50" t="inlineStr"/>
      <c r="N50" t="inlineStr"/>
      <c r="O50" t="inlineStr"/>
      <c r="P50" t="inlineStr">
        <is>
          <t>Opening inventory of 172 and supply of 0 are sufficient to cover the demand of 123. However, the projected closing inventory of 49 falls 409 units below the target safety stock requirement of 458, compromising the critical service level buffer.</t>
        </is>
      </c>
    </row>
    <row r="51">
      <c r="A51" t="inlineStr">
        <is>
          <t>2026-04-17</t>
        </is>
      </c>
      <c r="B51" t="inlineStr">
        <is>
          <t>BD-24536581-00050</t>
        </is>
      </c>
      <c r="C51" t="inlineStr">
        <is>
          <t>SKU_0002</t>
        </is>
      </c>
      <c r="D51" t="inlineStr">
        <is>
          <t>DC4</t>
        </is>
      </c>
      <c r="E51" t="n">
        <v>9</v>
      </c>
      <c r="F51" t="n">
        <v>39</v>
      </c>
      <c r="G51" t="n">
        <v>278</v>
      </c>
      <c r="H51" t="inlineStr">
        <is>
          <t>High</t>
        </is>
      </c>
      <c r="I51" t="inlineStr">
        <is>
          <t>P2</t>
        </is>
      </c>
      <c r="J51" t="inlineStr">
        <is>
          <t>Low Opening Stock (49 vs SS 458) + Supply (239) cannot meet Demand (108).</t>
        </is>
      </c>
      <c r="K51" t="inlineStr"/>
      <c r="L51" t="inlineStr"/>
      <c r="M51" t="inlineStr"/>
      <c r="N51" t="inlineStr"/>
      <c r="O51" t="inlineStr"/>
      <c r="P51" t="inlineStr">
        <is>
          <t>Opening inventory of 49 and supply of 239 are sufficient to cover the demand of 108. However, the projected closing inventory of 180 falls 278 units below the target safety stock requirement of 458, compromising the critical service level buffer.</t>
        </is>
      </c>
    </row>
    <row r="52">
      <c r="A52" t="inlineStr">
        <is>
          <t>2026-04-17</t>
        </is>
      </c>
      <c r="B52" t="inlineStr">
        <is>
          <t>BD-24536581-00051</t>
        </is>
      </c>
      <c r="C52" t="inlineStr">
        <is>
          <t>SKU_0002</t>
        </is>
      </c>
      <c r="D52" t="inlineStr">
        <is>
          <t>DC4</t>
        </is>
      </c>
      <c r="E52" t="n">
        <v>10</v>
      </c>
      <c r="F52" t="n">
        <v>59</v>
      </c>
      <c r="G52" t="n">
        <v>187</v>
      </c>
      <c r="H52" t="inlineStr">
        <is>
          <t>High</t>
        </is>
      </c>
      <c r="I52" t="inlineStr">
        <is>
          <t>P2</t>
        </is>
      </c>
      <c r="J52" t="inlineStr">
        <is>
          <t>Low Opening Stock (180 vs SS 458) + Supply (232) cannot meet Demand (141).</t>
        </is>
      </c>
      <c r="K52" t="inlineStr"/>
      <c r="L52" t="inlineStr"/>
      <c r="M52" t="inlineStr"/>
      <c r="N52" t="inlineStr"/>
      <c r="O52" t="inlineStr"/>
      <c r="P52" t="inlineStr">
        <is>
          <t>Opening inventory of 180 and supply of 0 are sufficient to cover the demand of 141. However, the projected closing inventory of 271 falls 187 units below the target safety stock requirement of 458, compromising the critical service level buffer.</t>
        </is>
      </c>
    </row>
    <row r="53">
      <c r="A53" t="inlineStr">
        <is>
          <t>2026-04-17</t>
        </is>
      </c>
      <c r="B53" t="inlineStr">
        <is>
          <t>BD-24536581-00052</t>
        </is>
      </c>
      <c r="C53" t="inlineStr">
        <is>
          <t>SKU_0002</t>
        </is>
      </c>
      <c r="D53" t="inlineStr">
        <is>
          <t>DC4</t>
        </is>
      </c>
      <c r="E53" t="n">
        <v>11</v>
      </c>
      <c r="F53" t="n">
        <v>32</v>
      </c>
      <c r="G53" t="n">
        <v>311</v>
      </c>
      <c r="H53" t="inlineStr">
        <is>
          <t>High</t>
        </is>
      </c>
      <c r="I53" t="inlineStr">
        <is>
          <t>P2</t>
        </is>
      </c>
      <c r="J53" t="inlineStr">
        <is>
          <t>Opening Stock (271) + Zero Inbound Supply cannot meet Demand (124).</t>
        </is>
      </c>
      <c r="K53" t="inlineStr"/>
      <c r="L53" t="inlineStr"/>
      <c r="M53" t="inlineStr"/>
      <c r="N53" t="inlineStr"/>
      <c r="O53" t="inlineStr"/>
      <c r="P53" t="inlineStr">
        <is>
          <t>Opening inventory of 271 and supply of 0 are sufficient to cover the demand of 124. However, the projected closing inventory of 147 falls 311 units below the target safety stock requirement of 458, compromising the critical service level buffer.</t>
        </is>
      </c>
    </row>
    <row r="54">
      <c r="A54" t="inlineStr">
        <is>
          <t>2026-04-17</t>
        </is>
      </c>
      <c r="B54" t="inlineStr">
        <is>
          <t>BD-24536581-00053</t>
        </is>
      </c>
      <c r="C54" t="inlineStr">
        <is>
          <t>SKU_0002</t>
        </is>
      </c>
      <c r="D54" t="inlineStr">
        <is>
          <t>DC4</t>
        </is>
      </c>
      <c r="E54" t="n">
        <v>12</v>
      </c>
      <c r="F54" t="n">
        <v>85</v>
      </c>
      <c r="G54" t="n">
        <v>65</v>
      </c>
      <c r="H54" t="inlineStr">
        <is>
          <t>Medium</t>
        </is>
      </c>
      <c r="I54" t="inlineStr">
        <is>
          <t>P3</t>
        </is>
      </c>
      <c r="J54" t="inlineStr">
        <is>
          <t>Low Opening Stock (147 vs SS 458) + Supply (327) cannot meet Demand (81).</t>
        </is>
      </c>
      <c r="K54" t="inlineStr"/>
      <c r="L54" t="inlineStr"/>
      <c r="M54" t="inlineStr"/>
      <c r="N54" t="inlineStr"/>
      <c r="O54" t="inlineStr"/>
      <c r="P54" t="inlineStr">
        <is>
          <t>Opening inventory of 147 and supply of 327 are sufficient to cover the demand of 81. However, the projected closing inventory of 393 falls 65 units below the target safety stock requirement of 458, compromising the critical service level buffer.</t>
        </is>
      </c>
    </row>
    <row r="55">
      <c r="A55" t="inlineStr">
        <is>
          <t>2026-04-17</t>
        </is>
      </c>
      <c r="B55" t="inlineStr">
        <is>
          <t>BD-24536581-00054</t>
        </is>
      </c>
      <c r="C55" t="inlineStr">
        <is>
          <t>SKU_0002</t>
        </is>
      </c>
      <c r="D55" t="inlineStr">
        <is>
          <t>DC5</t>
        </is>
      </c>
      <c r="E55" t="n">
        <v>8</v>
      </c>
      <c r="F55" t="n">
        <v>94</v>
      </c>
      <c r="G55" t="n">
        <v>12</v>
      </c>
      <c r="H55" t="inlineStr">
        <is>
          <t>Low</t>
        </is>
      </c>
      <c r="I55" t="inlineStr">
        <is>
          <t>P3</t>
        </is>
      </c>
      <c r="J55" t="inlineStr">
        <is>
          <t>Opening Stock (264) + Zero Inbound Supply cannot meet Demand (54).</t>
        </is>
      </c>
      <c r="K55" t="inlineStr"/>
      <c r="L55" t="inlineStr"/>
      <c r="M55" t="inlineStr"/>
      <c r="N55" t="inlineStr"/>
      <c r="O55" t="inlineStr"/>
      <c r="P55" t="inlineStr">
        <is>
          <t>Opening inventory of 264 and supply of 0 are sufficient to cover the demand of 54. However, the projected closing inventory of 210 falls 12 units below the target safety stock requirement of 222, compromising the critical service level buffer.</t>
        </is>
      </c>
    </row>
    <row r="56">
      <c r="A56" t="inlineStr">
        <is>
          <t>2026-04-17</t>
        </is>
      </c>
      <c r="B56" t="inlineStr">
        <is>
          <t>BD-24536581-00055</t>
        </is>
      </c>
      <c r="C56" t="inlineStr">
        <is>
          <t>SKU_0002</t>
        </is>
      </c>
      <c r="D56" t="inlineStr">
        <is>
          <t>F1</t>
        </is>
      </c>
      <c r="E56" t="n">
        <v>3</v>
      </c>
      <c r="F56" t="n">
        <v>97</v>
      </c>
      <c r="G56" t="n">
        <v>35</v>
      </c>
      <c r="H56" t="inlineStr">
        <is>
          <t>Low</t>
        </is>
      </c>
      <c r="I56" t="inlineStr">
        <is>
          <t>P2</t>
        </is>
      </c>
      <c r="J56" t="inlineStr">
        <is>
          <t>Opening Stock (1,732) + Supply (540) overwhelmed by Demand Surge (737 vs avg 493). Week 3 within 6-week lead time.</t>
        </is>
      </c>
      <c r="K56" t="inlineStr"/>
      <c r="L56" t="inlineStr"/>
      <c r="M56" t="inlineStr"/>
      <c r="N56" t="inlineStr"/>
      <c r="O56" t="inlineStr"/>
      <c r="P56" t="inlineStr">
        <is>
          <t>Opening inventory of 1732 and supply of 0 are sufficient to cover the demand of 737. However, the projected closing inventory of 1535 falls 35 units below the target safety stock requirement of 1570, compromising the critical service level buffer.</t>
        </is>
      </c>
    </row>
    <row r="57">
      <c r="A57" t="inlineStr">
        <is>
          <t>2026-04-17</t>
        </is>
      </c>
      <c r="B57" t="inlineStr">
        <is>
          <t>BD-24536581-00056</t>
        </is>
      </c>
      <c r="C57" t="inlineStr">
        <is>
          <t>SKU_0002</t>
        </is>
      </c>
      <c r="D57" t="inlineStr">
        <is>
          <t>F1</t>
        </is>
      </c>
      <c r="E57" t="n">
        <v>8</v>
      </c>
      <c r="F57" t="inlineStr"/>
      <c r="G57" t="inlineStr"/>
      <c r="H57" t="inlineStr"/>
      <c r="I57" t="inlineStr"/>
      <c r="J57" t="inlineStr"/>
      <c r="K57" t="n">
        <v>7</v>
      </c>
      <c r="L57" t="n">
        <v>401</v>
      </c>
      <c r="M57" t="inlineStr">
        <is>
          <t>Low</t>
        </is>
      </c>
      <c r="N57" t="inlineStr">
        <is>
          <t>P3</t>
        </is>
      </c>
      <c r="O57" t="inlineStr">
        <is>
          <t>High Opening Stock (6,174) + Supply (0) exceeds Max Stock (5,333) vs Demand (440).</t>
        </is>
      </c>
      <c r="P57" t="inlineStr">
        <is>
          <t>Opening inventory of 6174 and supply of 0 exceed the demand of 440, resulting in a projected surplus of 5734. This inventory levels violates the maximum stock threshold of 5333 units by 401 units, increasing holding risk.</t>
        </is>
      </c>
    </row>
    <row r="58">
      <c r="A58" t="inlineStr">
        <is>
          <t>2026-04-17</t>
        </is>
      </c>
      <c r="B58" t="inlineStr">
        <is>
          <t>BD-24536581-00057</t>
        </is>
      </c>
      <c r="C58" t="inlineStr">
        <is>
          <t>SKU_0003</t>
        </is>
      </c>
      <c r="D58" t="inlineStr">
        <is>
          <t>DC1</t>
        </is>
      </c>
      <c r="E58" t="n">
        <v>1</v>
      </c>
      <c r="F58" t="n">
        <v>0</v>
      </c>
      <c r="G58" t="n">
        <v>299</v>
      </c>
      <c r="H58" t="inlineStr">
        <is>
          <t>Critical</t>
        </is>
      </c>
      <c r="I58" t="inlineStr">
        <is>
          <t>P1</t>
        </is>
      </c>
      <c r="J58" t="inlineStr">
        <is>
          <t>Opening Stock (64) + Zero Inbound Supply cannot meet Demand (72). Week 1 within 2-week lead time.</t>
        </is>
      </c>
      <c r="K58" t="inlineStr"/>
      <c r="L58" t="inlineStr"/>
      <c r="M58" t="inlineStr"/>
      <c r="N58" t="inlineStr"/>
      <c r="O58" t="inlineStr"/>
      <c r="P58" t="inlineStr">
        <is>
          <t>Opening inventory of 64 and supply of 0 are insufficient to cover the demand of 72, leading to a projected stockout of 8 units and a breach of the 291 unit safety stock target by 299 units.</t>
        </is>
      </c>
    </row>
    <row r="59">
      <c r="A59" t="inlineStr">
        <is>
          <t>2026-04-17</t>
        </is>
      </c>
      <c r="B59" t="inlineStr">
        <is>
          <t>BD-24536581-00058</t>
        </is>
      </c>
      <c r="C59" t="inlineStr">
        <is>
          <t>SKU_0003</t>
        </is>
      </c>
      <c r="D59" t="inlineStr">
        <is>
          <t>DC1</t>
        </is>
      </c>
      <c r="E59" t="n">
        <v>2</v>
      </c>
      <c r="F59" t="n">
        <v>19</v>
      </c>
      <c r="G59" t="n">
        <v>234</v>
      </c>
      <c r="H59" t="inlineStr">
        <is>
          <t>High</t>
        </is>
      </c>
      <c r="I59" t="inlineStr">
        <is>
          <t>P1</t>
        </is>
      </c>
      <c r="J59" t="inlineStr">
        <is>
          <t>Low Opening Stock (0 vs SS 291) + Supply (138) cannot meet Demand (81). Week 2 within 2-week lead time.</t>
        </is>
      </c>
      <c r="K59" t="inlineStr"/>
      <c r="L59" t="inlineStr"/>
      <c r="M59" t="inlineStr"/>
      <c r="N59" t="inlineStr"/>
      <c r="O59" t="inlineStr"/>
      <c r="P59" t="inlineStr">
        <is>
          <t>Opening inventory of 0 and supply of 0 are insufficient to cover the demand of 73, leading to a projected stockout of 73 units and a breach of the 291 unit safety stock target by 364 units.</t>
        </is>
      </c>
    </row>
    <row r="60">
      <c r="A60" t="inlineStr">
        <is>
          <t>2026-04-17</t>
        </is>
      </c>
      <c r="B60" t="inlineStr">
        <is>
          <t>BD-24536581-00059</t>
        </is>
      </c>
      <c r="C60" t="inlineStr">
        <is>
          <t>SKU_0003</t>
        </is>
      </c>
      <c r="D60" t="inlineStr">
        <is>
          <t>DC1</t>
        </is>
      </c>
      <c r="E60" t="n">
        <v>3</v>
      </c>
      <c r="F60" t="n">
        <v>1</v>
      </c>
      <c r="G60" t="n">
        <v>286</v>
      </c>
      <c r="H60" t="inlineStr">
        <is>
          <t>High</t>
        </is>
      </c>
      <c r="I60" t="inlineStr">
        <is>
          <t>P2</t>
        </is>
      </c>
      <c r="J60" t="inlineStr">
        <is>
          <t>Opening Stock (57) + Zero Inbound Supply cannot meet Demand (52).</t>
        </is>
      </c>
      <c r="K60" t="inlineStr"/>
      <c r="L60" t="inlineStr"/>
      <c r="M60" t="inlineStr"/>
      <c r="N60" t="inlineStr"/>
      <c r="O60" t="inlineStr"/>
      <c r="P60" t="inlineStr">
        <is>
          <t>Opening inventory of 57 and supply of 0 are sufficient to cover the demand of 52. However, the projected closing inventory of 5 falls 286 units below the target safety stock requirement of 291, compromising the critical service level buffer.</t>
        </is>
      </c>
    </row>
    <row r="61">
      <c r="A61" t="inlineStr">
        <is>
          <t>2026-04-17</t>
        </is>
      </c>
      <c r="B61" t="inlineStr">
        <is>
          <t>BD-24536581-00060</t>
        </is>
      </c>
      <c r="C61" t="inlineStr">
        <is>
          <t>SKU_0003</t>
        </is>
      </c>
      <c r="D61" t="inlineStr">
        <is>
          <t>DC1</t>
        </is>
      </c>
      <c r="E61" t="n">
        <v>4</v>
      </c>
      <c r="F61" t="n">
        <v>32</v>
      </c>
      <c r="G61" t="n">
        <v>196</v>
      </c>
      <c r="H61" t="inlineStr">
        <is>
          <t>High</t>
        </is>
      </c>
      <c r="I61" t="inlineStr">
        <is>
          <t>P2</t>
        </is>
      </c>
      <c r="J61" t="inlineStr">
        <is>
          <t>Low Opening Stock (5 vs SS 291) + Supply (170) cannot meet Demand (80).</t>
        </is>
      </c>
      <c r="K61" t="inlineStr"/>
      <c r="L61" t="inlineStr"/>
      <c r="M61" t="inlineStr"/>
      <c r="N61" t="inlineStr"/>
      <c r="O61" t="inlineStr"/>
      <c r="P61" t="inlineStr">
        <is>
          <t>Opening inventory of 5 and supply of 0 are insufficient to cover the demand of 80, leading to a projected stockout of 75 units and a breach of the 291 unit safety stock target by 366 units.</t>
        </is>
      </c>
    </row>
    <row r="62">
      <c r="A62" t="inlineStr">
        <is>
          <t>2026-04-17</t>
        </is>
      </c>
      <c r="B62" t="inlineStr">
        <is>
          <t>BD-24536581-00061</t>
        </is>
      </c>
      <c r="C62" t="inlineStr">
        <is>
          <t>SKU_0003</t>
        </is>
      </c>
      <c r="D62" t="inlineStr">
        <is>
          <t>DC1</t>
        </is>
      </c>
      <c r="E62" t="n">
        <v>5</v>
      </c>
      <c r="F62" t="n">
        <v>0</v>
      </c>
      <c r="G62" t="n">
        <v>291</v>
      </c>
      <c r="H62" t="inlineStr">
        <is>
          <t>Critical</t>
        </is>
      </c>
      <c r="I62" t="inlineStr">
        <is>
          <t>P1</t>
        </is>
      </c>
      <c r="J62" t="inlineStr">
        <is>
          <t>Opening Stock (95) + Zero Inbound Supply cannot meet Demand (95).</t>
        </is>
      </c>
      <c r="K62" t="inlineStr"/>
      <c r="L62" t="inlineStr"/>
      <c r="M62" t="inlineStr"/>
      <c r="N62" t="inlineStr"/>
      <c r="O62" t="inlineStr"/>
      <c r="P62" t="inlineStr">
        <is>
          <t>Opening inventory of 95 and supply of 0 are sufficient to cover the demand of 95. However, the projected closing inventory of 0 falls 291 units below the target safety stock requirement of 291, compromising the critical service level buffer.</t>
        </is>
      </c>
    </row>
    <row r="63">
      <c r="A63" t="inlineStr">
        <is>
          <t>2026-04-17</t>
        </is>
      </c>
      <c r="B63" t="inlineStr">
        <is>
          <t>BD-24536581-00062</t>
        </is>
      </c>
      <c r="C63" t="inlineStr">
        <is>
          <t>SKU_0003</t>
        </is>
      </c>
      <c r="D63" t="inlineStr">
        <is>
          <t>DC1</t>
        </is>
      </c>
      <c r="E63" t="n">
        <v>6</v>
      </c>
      <c r="F63" t="n">
        <v>0</v>
      </c>
      <c r="G63" t="n">
        <v>365</v>
      </c>
      <c r="H63" t="inlineStr">
        <is>
          <t>Critical</t>
        </is>
      </c>
      <c r="I63" t="inlineStr">
        <is>
          <t>P1</t>
        </is>
      </c>
      <c r="J63" t="inlineStr">
        <is>
          <t>Zero Opening Stock + Zero Inbound Supply vs Demand of 74.</t>
        </is>
      </c>
      <c r="K63" t="inlineStr"/>
      <c r="L63" t="inlineStr"/>
      <c r="M63" t="inlineStr"/>
      <c r="N63" t="inlineStr"/>
      <c r="O63" t="inlineStr"/>
      <c r="P63" t="inlineStr">
        <is>
          <t>Opening inventory of 0 and supply of 0 are insufficient to cover the demand of 74, leading to a projected stockout of 74 units and a breach of the 291 unit safety stock target by 365 units.</t>
        </is>
      </c>
    </row>
    <row r="64">
      <c r="A64" t="inlineStr">
        <is>
          <t>2026-04-17</t>
        </is>
      </c>
      <c r="B64" t="inlineStr">
        <is>
          <t>BD-24536581-00063</t>
        </is>
      </c>
      <c r="C64" t="inlineStr">
        <is>
          <t>SKU_0003</t>
        </is>
      </c>
      <c r="D64" t="inlineStr">
        <is>
          <t>DC1</t>
        </is>
      </c>
      <c r="E64" t="n">
        <v>7</v>
      </c>
      <c r="F64" t="n">
        <v>0</v>
      </c>
      <c r="G64" t="n">
        <v>322</v>
      </c>
      <c r="H64" t="inlineStr">
        <is>
          <t>Critical</t>
        </is>
      </c>
      <c r="I64" t="inlineStr">
        <is>
          <t>P1</t>
        </is>
      </c>
      <c r="J64" t="inlineStr">
        <is>
          <t>Opening Stock (0) + Supply (112) overwhelmed by Demand Surge (143 vs avg 69).</t>
        </is>
      </c>
      <c r="K64" t="inlineStr"/>
      <c r="L64" t="inlineStr"/>
      <c r="M64" t="inlineStr"/>
      <c r="N64" t="inlineStr"/>
      <c r="O64" t="inlineStr"/>
      <c r="P64" t="inlineStr">
        <is>
          <t>Opening inventory of 0 and supply of 112 are sufficient to cover the demand of 69. However, the projected closing inventory of 0 falls 291 units below the target safety stock requirement of 291, compromising the critical service level buffer.</t>
        </is>
      </c>
    </row>
    <row r="65">
      <c r="A65" t="inlineStr">
        <is>
          <t>2026-04-17</t>
        </is>
      </c>
      <c r="B65" t="inlineStr">
        <is>
          <t>BD-24536581-00064</t>
        </is>
      </c>
      <c r="C65" t="inlineStr">
        <is>
          <t>SKU_0003</t>
        </is>
      </c>
      <c r="D65" t="inlineStr">
        <is>
          <t>DC1</t>
        </is>
      </c>
      <c r="E65" t="n">
        <v>8</v>
      </c>
      <c r="F65" t="n">
        <v>0</v>
      </c>
      <c r="G65" t="n">
        <v>408</v>
      </c>
      <c r="H65" t="inlineStr">
        <is>
          <t>Critical</t>
        </is>
      </c>
      <c r="I65" t="inlineStr">
        <is>
          <t>P1</t>
        </is>
      </c>
      <c r="J65" t="inlineStr">
        <is>
          <t>Zero Opening Stock + Zero Inbound Supply vs Demand of 117.</t>
        </is>
      </c>
      <c r="K65" t="inlineStr"/>
      <c r="L65" t="inlineStr"/>
      <c r="M65" t="inlineStr"/>
      <c r="N65" t="inlineStr"/>
      <c r="O65" t="inlineStr"/>
      <c r="P65" t="inlineStr">
        <is>
          <t>Opening inventory of 0 and supply of 0 are insufficient to cover the demand of 86, leading to a projected stockout of 86 units and a breach of the 291 unit safety stock target by 377 units.</t>
        </is>
      </c>
    </row>
    <row r="66">
      <c r="A66" t="inlineStr">
        <is>
          <t>2026-04-17</t>
        </is>
      </c>
      <c r="B66" t="inlineStr">
        <is>
          <t>BD-24536581-00065</t>
        </is>
      </c>
      <c r="C66" t="inlineStr">
        <is>
          <t>SKU_0003</t>
        </is>
      </c>
      <c r="D66" t="inlineStr">
        <is>
          <t>DC1</t>
        </is>
      </c>
      <c r="E66" t="n">
        <v>9</v>
      </c>
      <c r="F66" t="n">
        <v>0</v>
      </c>
      <c r="G66" t="n">
        <v>356</v>
      </c>
      <c r="H66" t="inlineStr">
        <is>
          <t>Critical</t>
        </is>
      </c>
      <c r="I66" t="inlineStr">
        <is>
          <t>P1</t>
        </is>
      </c>
      <c r="J66" t="inlineStr">
        <is>
          <t>Opening Stock (0) + Supply (110) overwhelmed by Demand Surge (175 vs avg 69).</t>
        </is>
      </c>
      <c r="K66" t="inlineStr"/>
      <c r="L66" t="inlineStr"/>
      <c r="M66" t="inlineStr"/>
      <c r="N66" t="inlineStr"/>
      <c r="O66" t="inlineStr"/>
      <c r="P66" t="inlineStr">
        <is>
          <t>Opening inventory of 0 and supply of 110 are sufficient to cover the demand of 58. However, the projected closing inventory of 0 falls 291 units below the target safety stock requirement of 291, compromising the critical service level buffer.</t>
        </is>
      </c>
    </row>
    <row r="67">
      <c r="A67" t="inlineStr">
        <is>
          <t>2026-04-17</t>
        </is>
      </c>
      <c r="B67" t="inlineStr">
        <is>
          <t>BD-24536581-00066</t>
        </is>
      </c>
      <c r="C67" t="inlineStr">
        <is>
          <t>SKU_0003</t>
        </is>
      </c>
      <c r="D67" t="inlineStr">
        <is>
          <t>DC1</t>
        </is>
      </c>
      <c r="E67" t="n">
        <v>10</v>
      </c>
      <c r="F67" t="n">
        <v>0</v>
      </c>
      <c r="G67" t="n">
        <v>438</v>
      </c>
      <c r="H67" t="inlineStr">
        <is>
          <t>Critical</t>
        </is>
      </c>
      <c r="I67" t="inlineStr">
        <is>
          <t>P1</t>
        </is>
      </c>
      <c r="J67" t="inlineStr">
        <is>
          <t>Zero Opening Stock + Zero Inbound Supply vs Demand of 147.</t>
        </is>
      </c>
      <c r="K67" t="inlineStr"/>
      <c r="L67" t="inlineStr"/>
      <c r="M67" t="inlineStr"/>
      <c r="N67" t="inlineStr"/>
      <c r="O67" t="inlineStr"/>
      <c r="P67" t="inlineStr">
        <is>
          <t>Opening inventory of 0 and supply of 0 are insufficient to cover the demand of 82, leading to a projected stockout of 82 units and a breach of the 291 unit safety stock target by 373 units.</t>
        </is>
      </c>
    </row>
    <row r="68">
      <c r="A68" t="inlineStr">
        <is>
          <t>2026-04-17</t>
        </is>
      </c>
      <c r="B68" t="inlineStr">
        <is>
          <t>BD-24536581-00067</t>
        </is>
      </c>
      <c r="C68" t="inlineStr">
        <is>
          <t>SKU_0003</t>
        </is>
      </c>
      <c r="D68" t="inlineStr">
        <is>
          <t>DC1</t>
        </is>
      </c>
      <c r="E68" t="n">
        <v>11</v>
      </c>
      <c r="F68" t="n">
        <v>0</v>
      </c>
      <c r="G68" t="n">
        <v>493</v>
      </c>
      <c r="H68" t="inlineStr">
        <is>
          <t>Critical</t>
        </is>
      </c>
      <c r="I68" t="inlineStr">
        <is>
          <t>P1</t>
        </is>
      </c>
      <c r="J68" t="inlineStr">
        <is>
          <t>Zero Opening Stock + Zero Inbound Supply vs Demand of 202.</t>
        </is>
      </c>
      <c r="K68" t="inlineStr"/>
      <c r="L68" t="inlineStr"/>
      <c r="M68" t="inlineStr"/>
      <c r="N68" t="inlineStr"/>
      <c r="O68" t="inlineStr"/>
      <c r="P68" t="inlineStr">
        <is>
          <t>Opening inventory of 0 and supply of 0 are insufficient to cover the demand of 55, leading to a projected stockout of 55 units and a breach of the 291 unit safety stock target by 346 units.</t>
        </is>
      </c>
    </row>
    <row r="69">
      <c r="A69" t="inlineStr">
        <is>
          <t>2026-04-17</t>
        </is>
      </c>
      <c r="B69" t="inlineStr">
        <is>
          <t>BD-24536581-00068</t>
        </is>
      </c>
      <c r="C69" t="inlineStr">
        <is>
          <t>SKU_0003</t>
        </is>
      </c>
      <c r="D69" t="inlineStr">
        <is>
          <t>DC1</t>
        </is>
      </c>
      <c r="E69" t="n">
        <v>12</v>
      </c>
      <c r="F69" t="n">
        <v>0</v>
      </c>
      <c r="G69" t="n">
        <v>536</v>
      </c>
      <c r="H69" t="inlineStr">
        <is>
          <t>Critical</t>
        </is>
      </c>
      <c r="I69" t="inlineStr">
        <is>
          <t>P1</t>
        </is>
      </c>
      <c r="J69" t="inlineStr">
        <is>
          <t>Zero Opening Stock + Zero Inbound Supply vs Demand of 245.</t>
        </is>
      </c>
      <c r="K69" t="inlineStr"/>
      <c r="L69" t="inlineStr"/>
      <c r="M69" t="inlineStr"/>
      <c r="N69" t="inlineStr"/>
      <c r="O69" t="inlineStr"/>
      <c r="P69" t="inlineStr">
        <is>
          <t>Opening inventory of 0 and supply of 0 are insufficient to cover the demand of 43, leading to a projected stockout of 43 units and a breach of the 291 unit safety stock target by 334 units.</t>
        </is>
      </c>
    </row>
    <row r="70">
      <c r="A70" t="inlineStr">
        <is>
          <t>2026-04-17</t>
        </is>
      </c>
      <c r="B70" t="inlineStr">
        <is>
          <t>BD-24536581-00069</t>
        </is>
      </c>
      <c r="C70" t="inlineStr">
        <is>
          <t>SKU_0003</t>
        </is>
      </c>
      <c r="D70" t="inlineStr">
        <is>
          <t>DC2</t>
        </is>
      </c>
      <c r="E70" t="n">
        <v>7</v>
      </c>
      <c r="F70" t="inlineStr"/>
      <c r="G70" t="inlineStr"/>
      <c r="H70" t="inlineStr"/>
      <c r="I70" t="inlineStr"/>
      <c r="J70" t="inlineStr"/>
      <c r="K70" t="n">
        <v>3</v>
      </c>
      <c r="L70" t="n">
        <v>29</v>
      </c>
      <c r="M70" t="inlineStr">
        <is>
          <t>Low</t>
        </is>
      </c>
      <c r="N70" t="inlineStr">
        <is>
          <t>P3</t>
        </is>
      </c>
      <c r="O70" t="inlineStr">
        <is>
          <t>Opening Stock (758) + Aggressive Supply (98) exceeds Forecast (52).</t>
        </is>
      </c>
      <c r="P70" t="inlineStr">
        <is>
          <t>Opening inventory of 758 and supply of 98 exceed the demand of 52, resulting in a projected surplus of 804. This inventory levels violates the maximum stock threshold of 775 units by 29 units, increasing holding risk.</t>
        </is>
      </c>
    </row>
    <row r="71">
      <c r="A71" t="inlineStr">
        <is>
          <t>2026-04-17</t>
        </is>
      </c>
      <c r="B71" t="inlineStr">
        <is>
          <t>BD-24536581-00070</t>
        </is>
      </c>
      <c r="C71" t="inlineStr">
        <is>
          <t>SKU_0003</t>
        </is>
      </c>
      <c r="D71" t="inlineStr">
        <is>
          <t>DC2</t>
        </is>
      </c>
      <c r="E71" t="n">
        <v>9</v>
      </c>
      <c r="F71" t="inlineStr"/>
      <c r="G71" t="inlineStr"/>
      <c r="H71" t="inlineStr"/>
      <c r="I71" t="inlineStr"/>
      <c r="J71" t="inlineStr"/>
      <c r="K71" t="n">
        <v>3</v>
      </c>
      <c r="L71" t="n">
        <v>27</v>
      </c>
      <c r="M71" t="inlineStr">
        <is>
          <t>Low</t>
        </is>
      </c>
      <c r="N71" t="inlineStr">
        <is>
          <t>P3</t>
        </is>
      </c>
      <c r="O71" t="inlineStr">
        <is>
          <t>Opening Stock (765) + Aggressive Supply (76) exceeds Forecast (39).</t>
        </is>
      </c>
      <c r="P71" t="inlineStr">
        <is>
          <t>Opening inventory of 765 and supply of 76 exceed the demand of 39, resulting in a projected surplus of 802. This inventory levels violates the maximum stock threshold of 775 units by 27 units, increasing holding risk.</t>
        </is>
      </c>
    </row>
    <row r="72">
      <c r="A72" t="inlineStr">
        <is>
          <t>2026-04-17</t>
        </is>
      </c>
      <c r="B72" t="inlineStr">
        <is>
          <t>BD-24536581-00071</t>
        </is>
      </c>
      <c r="C72" t="inlineStr">
        <is>
          <t>SKU_0003</t>
        </is>
      </c>
      <c r="D72" t="inlineStr">
        <is>
          <t>DC2</t>
        </is>
      </c>
      <c r="E72" t="n">
        <v>10</v>
      </c>
      <c r="F72" t="inlineStr"/>
      <c r="G72" t="inlineStr"/>
      <c r="H72" t="inlineStr"/>
      <c r="I72" t="inlineStr"/>
      <c r="J72" t="inlineStr"/>
      <c r="K72" t="n">
        <v>8</v>
      </c>
      <c r="L72" t="n">
        <v>67</v>
      </c>
      <c r="M72" t="inlineStr">
        <is>
          <t>Low</t>
        </is>
      </c>
      <c r="N72" t="inlineStr">
        <is>
          <t>P3</t>
        </is>
      </c>
      <c r="O72" t="inlineStr">
        <is>
          <t>High Opening Stock (802) + Supply (93) exceeds Max Stock (775) vs Demand (53).</t>
        </is>
      </c>
      <c r="P72" t="inlineStr">
        <is>
          <t>Opening inventory of 802 and supply of 93 exceed the demand of 53, resulting in a projected surplus of 842. This inventory levels violates the maximum stock threshold of 775 units by 67 units, increasing holding risk.</t>
        </is>
      </c>
    </row>
    <row r="73">
      <c r="A73" t="inlineStr">
        <is>
          <t>2026-04-17</t>
        </is>
      </c>
      <c r="B73" t="inlineStr">
        <is>
          <t>BD-24536581-00072</t>
        </is>
      </c>
      <c r="C73" t="inlineStr">
        <is>
          <t>SKU_0003</t>
        </is>
      </c>
      <c r="D73" t="inlineStr">
        <is>
          <t>DC4</t>
        </is>
      </c>
      <c r="E73" t="n">
        <v>2</v>
      </c>
      <c r="F73" t="n">
        <v>87</v>
      </c>
      <c r="G73" t="n">
        <v>60</v>
      </c>
      <c r="H73" t="inlineStr">
        <is>
          <t>Medium</t>
        </is>
      </c>
      <c r="I73" t="inlineStr">
        <is>
          <t>P2</t>
        </is>
      </c>
      <c r="J73" t="inlineStr">
        <is>
          <t>Opening Stock (556) + Zero Inbound Supply cannot meet Demand (150). Week 2 within 4-week lead time.</t>
        </is>
      </c>
      <c r="K73" t="inlineStr"/>
      <c r="L73" t="inlineStr"/>
      <c r="M73" t="inlineStr"/>
      <c r="N73" t="inlineStr"/>
      <c r="O73" t="inlineStr"/>
      <c r="P73" t="inlineStr">
        <is>
          <t>Opening inventory of 556 and supply of 0 are sufficient to cover the demand of 150. However, the projected closing inventory of 406 falls 60 units below the target safety stock requirement of 466, compromising the critical service level buffer.</t>
        </is>
      </c>
    </row>
    <row r="74">
      <c r="A74" t="inlineStr">
        <is>
          <t>2026-04-17</t>
        </is>
      </c>
      <c r="B74" t="inlineStr">
        <is>
          <t>BD-24536581-00073</t>
        </is>
      </c>
      <c r="C74" t="inlineStr">
        <is>
          <t>SKU_0003</t>
        </is>
      </c>
      <c r="D74" t="inlineStr">
        <is>
          <t>DC4</t>
        </is>
      </c>
      <c r="E74" t="n">
        <v>8</v>
      </c>
      <c r="F74" t="inlineStr"/>
      <c r="G74" t="inlineStr"/>
      <c r="H74" t="inlineStr"/>
      <c r="I74" t="inlineStr"/>
      <c r="J74" t="inlineStr"/>
      <c r="K74" t="n">
        <v>4</v>
      </c>
      <c r="L74" t="n">
        <v>59</v>
      </c>
      <c r="M74" t="inlineStr">
        <is>
          <t>Low</t>
        </is>
      </c>
      <c r="N74" t="inlineStr">
        <is>
          <t>P3</t>
        </is>
      </c>
      <c r="O74" t="inlineStr">
        <is>
          <t>Opening Stock (1,257) + Aggressive Supply (266) exceeds Forecast (96).</t>
        </is>
      </c>
      <c r="P74" t="inlineStr">
        <is>
          <t>Opening inventory of 1257 and supply of 266 exceed the demand of 96, resulting in a projected surplus of 1427. This inventory levels violates the maximum stock threshold of 1368 units by 59 units, increasing holding risk.</t>
        </is>
      </c>
    </row>
    <row r="75">
      <c r="A75" t="inlineStr">
        <is>
          <t>2026-04-17</t>
        </is>
      </c>
      <c r="B75" t="inlineStr">
        <is>
          <t>BD-24536581-00074</t>
        </is>
      </c>
      <c r="C75" t="inlineStr">
        <is>
          <t>SKU_0003</t>
        </is>
      </c>
      <c r="D75" t="inlineStr">
        <is>
          <t>DC4</t>
        </is>
      </c>
      <c r="E75" t="n">
        <v>10</v>
      </c>
      <c r="F75" t="inlineStr"/>
      <c r="G75" t="inlineStr"/>
      <c r="H75" t="inlineStr"/>
      <c r="I75" t="inlineStr"/>
      <c r="J75" t="inlineStr"/>
      <c r="K75" t="n">
        <v>4</v>
      </c>
      <c r="L75" t="n">
        <v>66</v>
      </c>
      <c r="M75" t="inlineStr">
        <is>
          <t>Low</t>
        </is>
      </c>
      <c r="N75" t="inlineStr">
        <is>
          <t>P3</t>
        </is>
      </c>
      <c r="O75" t="inlineStr">
        <is>
          <t>High Opening Stock (1,549) + Supply (0) exceeds Max Stock (1,368) vs Demand (115).</t>
        </is>
      </c>
      <c r="P75" t="inlineStr">
        <is>
          <t>Opening inventory of 1549 and supply of 0 exceed the demand of 115, resulting in a projected surplus of 1434. This inventory levels violates the maximum stock threshold of 1368 units by 66 units, increasing holding risk.</t>
        </is>
      </c>
    </row>
    <row r="76">
      <c r="A76" t="inlineStr">
        <is>
          <t>2026-04-17</t>
        </is>
      </c>
      <c r="B76" t="inlineStr">
        <is>
          <t>BD-24536581-00075</t>
        </is>
      </c>
      <c r="C76" t="inlineStr">
        <is>
          <t>SKU_0003</t>
        </is>
      </c>
      <c r="D76" t="inlineStr">
        <is>
          <t>DC4</t>
        </is>
      </c>
      <c r="E76" t="n">
        <v>12</v>
      </c>
      <c r="F76" t="inlineStr"/>
      <c r="G76" t="inlineStr"/>
      <c r="H76" t="inlineStr"/>
      <c r="I76" t="inlineStr"/>
      <c r="J76" t="inlineStr"/>
      <c r="K76" t="n">
        <v>8</v>
      </c>
      <c r="L76" t="n">
        <v>120</v>
      </c>
      <c r="M76" t="inlineStr">
        <is>
          <t>Low</t>
        </is>
      </c>
      <c r="N76" t="inlineStr">
        <is>
          <t>P3</t>
        </is>
      </c>
      <c r="O76" t="inlineStr">
        <is>
          <t>High Opening Stock (1,622) + Supply (0) exceeds Max Stock (1,368) vs Demand (134).</t>
        </is>
      </c>
      <c r="P76" t="inlineStr">
        <is>
          <t>Opening inventory of 1622 and supply of 0 exceed the demand of 134, resulting in a projected surplus of 1488. This inventory levels violates the maximum stock threshold of 1368 units by 120 units, increasing holding risk.</t>
        </is>
      </c>
    </row>
    <row r="77">
      <c r="A77" t="inlineStr">
        <is>
          <t>2026-04-17</t>
        </is>
      </c>
      <c r="B77" t="inlineStr">
        <is>
          <t>BD-24536581-00076</t>
        </is>
      </c>
      <c r="C77" t="inlineStr">
        <is>
          <t>SKU_0003</t>
        </is>
      </c>
      <c r="D77" t="inlineStr">
        <is>
          <t>DC5</t>
        </is>
      </c>
      <c r="E77" t="n">
        <v>1</v>
      </c>
      <c r="F77" t="inlineStr"/>
      <c r="G77" t="inlineStr"/>
      <c r="H77" t="inlineStr"/>
      <c r="I77" t="inlineStr"/>
      <c r="J77" t="inlineStr"/>
      <c r="K77" t="n">
        <v>6</v>
      </c>
      <c r="L77" t="n">
        <v>86</v>
      </c>
      <c r="M77" t="inlineStr">
        <is>
          <t>Low</t>
        </is>
      </c>
      <c r="N77" t="inlineStr">
        <is>
          <t>P2</t>
        </is>
      </c>
      <c r="O77" t="inlineStr">
        <is>
          <t>Opening Stock (1,339) + Aggressive Supply (148) exceeds Forecast (59).</t>
        </is>
      </c>
      <c r="P77" t="inlineStr">
        <is>
          <t>Opening inventory of 1339 and supply of 0 exceed the demand of 59, resulting in a projected surplus of 1428. This inventory levels violates the maximum stock threshold of 1342 units by 86 units, increasing holding risk.</t>
        </is>
      </c>
    </row>
    <row r="78">
      <c r="A78" t="inlineStr">
        <is>
          <t>2026-04-17</t>
        </is>
      </c>
      <c r="B78" t="inlineStr">
        <is>
          <t>BD-24536581-00077</t>
        </is>
      </c>
      <c r="C78" t="inlineStr">
        <is>
          <t>SKU_0003</t>
        </is>
      </c>
      <c r="D78" t="inlineStr">
        <is>
          <t>DC5</t>
        </is>
      </c>
      <c r="E78" t="n">
        <v>3</v>
      </c>
      <c r="F78" t="inlineStr"/>
      <c r="G78" t="inlineStr"/>
      <c r="H78" t="inlineStr"/>
      <c r="I78" t="inlineStr"/>
      <c r="J78" t="inlineStr"/>
      <c r="K78" t="n">
        <v>7</v>
      </c>
      <c r="L78" t="n">
        <v>100</v>
      </c>
      <c r="M78" t="inlineStr">
        <is>
          <t>Low</t>
        </is>
      </c>
      <c r="N78" t="inlineStr">
        <is>
          <t>P2</t>
        </is>
      </c>
      <c r="O78" t="inlineStr">
        <is>
          <t>Opening Stock (1,329) + Aggressive Supply (194) exceeds Forecast (81).</t>
        </is>
      </c>
      <c r="P78" t="inlineStr">
        <is>
          <t>Opening inventory of 1329 and supply of 0 exceed the demand of 81, resulting in a projected surplus of 1442. This inventory levels violates the maximum stock threshold of 1342 units by 100 units, increasing holding risk.</t>
        </is>
      </c>
    </row>
    <row r="79">
      <c r="A79" t="inlineStr">
        <is>
          <t>2026-04-17</t>
        </is>
      </c>
      <c r="B79" t="inlineStr">
        <is>
          <t>BD-24536581-00078</t>
        </is>
      </c>
      <c r="C79" t="inlineStr">
        <is>
          <t>SKU_0003</t>
        </is>
      </c>
      <c r="D79" t="inlineStr">
        <is>
          <t>DC5</t>
        </is>
      </c>
      <c r="E79" t="n">
        <v>5</v>
      </c>
      <c r="F79" t="inlineStr"/>
      <c r="G79" t="inlineStr"/>
      <c r="H79" t="inlineStr"/>
      <c r="I79" t="inlineStr"/>
      <c r="J79" t="inlineStr"/>
      <c r="K79" t="n">
        <v>40</v>
      </c>
      <c r="L79" t="n">
        <v>545</v>
      </c>
      <c r="M79" t="inlineStr">
        <is>
          <t>High</t>
        </is>
      </c>
      <c r="N79" t="inlineStr">
        <is>
          <t>P1</t>
        </is>
      </c>
      <c r="O79" t="inlineStr">
        <is>
          <t>High Opening Stock (1,557) + Supply (408) exceeds Max Stock (1,342) vs Demand (78).</t>
        </is>
      </c>
      <c r="P79" t="inlineStr">
        <is>
          <t>Opening inventory of 1557 and supply of 408 exceed the demand of 78, resulting in a projected surplus of 1887. This inventory levels violates the maximum stock threshold of 1342 units by 545 units, increasing holding risk.</t>
        </is>
      </c>
    </row>
    <row r="80">
      <c r="A80" t="inlineStr">
        <is>
          <t>2026-04-17</t>
        </is>
      </c>
      <c r="B80" t="inlineStr">
        <is>
          <t>BD-24536581-00079</t>
        </is>
      </c>
      <c r="C80" t="inlineStr">
        <is>
          <t>SKU_0003</t>
        </is>
      </c>
      <c r="D80" t="inlineStr">
        <is>
          <t>DC5</t>
        </is>
      </c>
      <c r="E80" t="n">
        <v>6</v>
      </c>
      <c r="F80" t="inlineStr"/>
      <c r="G80" t="inlineStr"/>
      <c r="H80" t="inlineStr"/>
      <c r="I80" t="inlineStr"/>
      <c r="J80" t="inlineStr"/>
      <c r="K80" t="n">
        <v>53</v>
      </c>
      <c r="L80" t="n">
        <v>723</v>
      </c>
      <c r="M80" t="inlineStr">
        <is>
          <t>High</t>
        </is>
      </c>
      <c r="N80" t="inlineStr">
        <is>
          <t>P1</t>
        </is>
      </c>
      <c r="O80" t="inlineStr">
        <is>
          <t>High Opening Stock (1,887) + Supply (268) exceeds Max Stock (1,342) vs Demand (90).</t>
        </is>
      </c>
      <c r="P80" t="inlineStr">
        <is>
          <t>Opening inventory of 1887 and supply of 268 exceed the demand of 90, resulting in a projected surplus of 2065. This inventory levels violates the maximum stock threshold of 1342 units by 723 units, increasing holding risk.</t>
        </is>
      </c>
    </row>
    <row r="81">
      <c r="A81" t="inlineStr">
        <is>
          <t>2026-04-17</t>
        </is>
      </c>
      <c r="B81" t="inlineStr">
        <is>
          <t>BD-24536581-00080</t>
        </is>
      </c>
      <c r="C81" t="inlineStr">
        <is>
          <t>SKU_0003</t>
        </is>
      </c>
      <c r="D81" t="inlineStr">
        <is>
          <t>DC5</t>
        </is>
      </c>
      <c r="E81" t="n">
        <v>7</v>
      </c>
      <c r="F81" t="inlineStr"/>
      <c r="G81" t="inlineStr"/>
      <c r="H81" t="inlineStr"/>
      <c r="I81" t="inlineStr"/>
      <c r="J81" t="inlineStr"/>
      <c r="K81" t="n">
        <v>90</v>
      </c>
      <c r="L81" t="n">
        <v>1220</v>
      </c>
      <c r="M81" t="inlineStr">
        <is>
          <t>High</t>
        </is>
      </c>
      <c r="N81" t="inlineStr">
        <is>
          <t>P1</t>
        </is>
      </c>
      <c r="O81" t="inlineStr">
        <is>
          <t>High Opening Stock (2,065) + Supply (605) exceeds Max Stock (1,342) vs Demand (108).</t>
        </is>
      </c>
      <c r="P81" t="inlineStr">
        <is>
          <t>Opening inventory of 2065 and supply of 605 exceed the demand of 108, resulting in a projected surplus of 2562. This inventory levels violates the maximum stock threshold of 1342 units by 1220 units, increasing holding risk.</t>
        </is>
      </c>
    </row>
    <row r="82">
      <c r="A82" t="inlineStr">
        <is>
          <t>2026-04-17</t>
        </is>
      </c>
      <c r="B82" t="inlineStr">
        <is>
          <t>BD-24536581-00081</t>
        </is>
      </c>
      <c r="C82" t="inlineStr">
        <is>
          <t>SKU_0003</t>
        </is>
      </c>
      <c r="D82" t="inlineStr">
        <is>
          <t>DC5</t>
        </is>
      </c>
      <c r="E82" t="n">
        <v>8</v>
      </c>
      <c r="F82" t="inlineStr"/>
      <c r="G82" t="inlineStr"/>
      <c r="H82" t="inlineStr"/>
      <c r="I82" t="inlineStr"/>
      <c r="J82" t="inlineStr"/>
      <c r="K82" t="n">
        <v>85</v>
      </c>
      <c r="L82" t="n">
        <v>1141</v>
      </c>
      <c r="M82" t="inlineStr">
        <is>
          <t>High</t>
        </is>
      </c>
      <c r="N82" t="inlineStr">
        <is>
          <t>P1</t>
        </is>
      </c>
      <c r="O82" t="inlineStr">
        <is>
          <t>High Opening Stock (2,562) + Supply (0) exceeds Max Stock (1,342) vs Demand (79).</t>
        </is>
      </c>
      <c r="P82" t="inlineStr">
        <is>
          <t>Opening inventory of 2562 and supply of 0 exceed the demand of 79, resulting in a projected surplus of 2483. This inventory levels violates the maximum stock threshold of 1342 units by 1141 units, increasing holding risk.</t>
        </is>
      </c>
    </row>
    <row r="83">
      <c r="A83" t="inlineStr">
        <is>
          <t>2026-04-17</t>
        </is>
      </c>
      <c r="B83" t="inlineStr">
        <is>
          <t>BD-24536581-00082</t>
        </is>
      </c>
      <c r="C83" t="inlineStr">
        <is>
          <t>SKU_0003</t>
        </is>
      </c>
      <c r="D83" t="inlineStr">
        <is>
          <t>DC5</t>
        </is>
      </c>
      <c r="E83" t="n">
        <v>9</v>
      </c>
      <c r="F83" t="inlineStr"/>
      <c r="G83" t="inlineStr"/>
      <c r="H83" t="inlineStr"/>
      <c r="I83" t="inlineStr"/>
      <c r="J83" t="inlineStr"/>
      <c r="K83" t="n">
        <v>133</v>
      </c>
      <c r="L83" t="n">
        <v>1790</v>
      </c>
      <c r="M83" t="inlineStr">
        <is>
          <t>High</t>
        </is>
      </c>
      <c r="N83" t="inlineStr">
        <is>
          <t>P1</t>
        </is>
      </c>
      <c r="O83" t="inlineStr">
        <is>
          <t>High Opening Stock (2,483) + Supply (694) exceeds Max Stock (1,342) vs Demand (45).</t>
        </is>
      </c>
      <c r="P83" t="inlineStr">
        <is>
          <t>Opening inventory of 2483 and supply of 694 exceed the demand of 45, resulting in a projected surplus of 3132. This inventory levels violates the maximum stock threshold of 1342 units by 1790 units, increasing holding risk.</t>
        </is>
      </c>
    </row>
    <row r="84">
      <c r="A84" t="inlineStr">
        <is>
          <t>2026-04-17</t>
        </is>
      </c>
      <c r="B84" t="inlineStr">
        <is>
          <t>BD-24536581-00083</t>
        </is>
      </c>
      <c r="C84" t="inlineStr">
        <is>
          <t>SKU_0003</t>
        </is>
      </c>
      <c r="D84" t="inlineStr">
        <is>
          <t>DC5</t>
        </is>
      </c>
      <c r="E84" t="n">
        <v>10</v>
      </c>
      <c r="F84" t="inlineStr"/>
      <c r="G84" t="inlineStr"/>
      <c r="H84" t="inlineStr"/>
      <c r="I84" t="inlineStr"/>
      <c r="J84" t="inlineStr"/>
      <c r="K84" t="n">
        <v>127</v>
      </c>
      <c r="L84" t="n">
        <v>1715</v>
      </c>
      <c r="M84" t="inlineStr">
        <is>
          <t>High</t>
        </is>
      </c>
      <c r="N84" t="inlineStr">
        <is>
          <t>P1</t>
        </is>
      </c>
      <c r="O84" t="inlineStr">
        <is>
          <t>High Opening Stock (3,132) + Supply (0) exceeds Max Stock (1,342) vs Demand (75).</t>
        </is>
      </c>
      <c r="P84" t="inlineStr">
        <is>
          <t>Opening inventory of 3132 and supply of 0 exceed the demand of 75, resulting in a projected surplus of 3057. This inventory levels violates the maximum stock threshold of 1342 units by 1715 units, increasing holding risk.</t>
        </is>
      </c>
    </row>
    <row r="85">
      <c r="A85" t="inlineStr">
        <is>
          <t>2026-04-17</t>
        </is>
      </c>
      <c r="B85" t="inlineStr">
        <is>
          <t>BD-24536581-00084</t>
        </is>
      </c>
      <c r="C85" t="inlineStr">
        <is>
          <t>SKU_0003</t>
        </is>
      </c>
      <c r="D85" t="inlineStr">
        <is>
          <t>DC5</t>
        </is>
      </c>
      <c r="E85" t="n">
        <v>11</v>
      </c>
      <c r="F85" t="inlineStr"/>
      <c r="G85" t="inlineStr"/>
      <c r="H85" t="inlineStr"/>
      <c r="I85" t="inlineStr"/>
      <c r="J85" t="inlineStr"/>
      <c r="K85" t="n">
        <v>128</v>
      </c>
      <c r="L85" t="n">
        <v>1720</v>
      </c>
      <c r="M85" t="inlineStr">
        <is>
          <t>High</t>
        </is>
      </c>
      <c r="N85" t="inlineStr">
        <is>
          <t>P1</t>
        </is>
      </c>
      <c r="O85" t="inlineStr">
        <is>
          <t>High Opening Stock (3,057) + Supply (101) exceeds Max Stock (1,342) vs Demand (96).</t>
        </is>
      </c>
      <c r="P85" t="inlineStr">
        <is>
          <t>Opening inventory of 3057 and supply of 0 exceed the demand of 96, resulting in a projected surplus of 3062. This inventory levels violates the maximum stock threshold of 1342 units by 1720 units, increasing holding risk.</t>
        </is>
      </c>
    </row>
    <row r="86">
      <c r="A86" t="inlineStr">
        <is>
          <t>2026-04-17</t>
        </is>
      </c>
      <c r="B86" t="inlineStr">
        <is>
          <t>BD-24536581-00085</t>
        </is>
      </c>
      <c r="C86" t="inlineStr">
        <is>
          <t>SKU_0003</t>
        </is>
      </c>
      <c r="D86" t="inlineStr">
        <is>
          <t>DC5</t>
        </is>
      </c>
      <c r="E86" t="n">
        <v>12</v>
      </c>
      <c r="F86" t="inlineStr"/>
      <c r="G86" t="inlineStr"/>
      <c r="H86" t="inlineStr"/>
      <c r="I86" t="inlineStr"/>
      <c r="J86" t="inlineStr"/>
      <c r="K86" t="n">
        <v>122</v>
      </c>
      <c r="L86" t="n">
        <v>1641</v>
      </c>
      <c r="M86" t="inlineStr">
        <is>
          <t>High</t>
        </is>
      </c>
      <c r="N86" t="inlineStr">
        <is>
          <t>P1</t>
        </is>
      </c>
      <c r="O86" t="inlineStr">
        <is>
          <t>High Opening Stock (3,062) + Supply (0) exceeds Max Stock (1,342) vs Demand (79).</t>
        </is>
      </c>
      <c r="P86" t="inlineStr">
        <is>
          <t>Opening inventory of 3062 and supply of 0 exceed the demand of 79, resulting in a projected surplus of 2983. This inventory levels violates the maximum stock threshold of 1342 units by 1641 units, increasing holding risk.</t>
        </is>
      </c>
    </row>
    <row r="87">
      <c r="A87" t="inlineStr">
        <is>
          <t>2026-04-17</t>
        </is>
      </c>
      <c r="B87" t="inlineStr">
        <is>
          <t>BD-24536581-00086</t>
        </is>
      </c>
      <c r="C87" t="inlineStr">
        <is>
          <t>SKU_0003</t>
        </is>
      </c>
      <c r="D87" t="inlineStr">
        <is>
          <t>F1</t>
        </is>
      </c>
      <c r="E87" t="n">
        <v>6</v>
      </c>
      <c r="F87" t="n">
        <v>63</v>
      </c>
      <c r="G87" t="n">
        <v>518</v>
      </c>
      <c r="H87" t="inlineStr">
        <is>
          <t>High</t>
        </is>
      </c>
      <c r="I87" t="inlineStr">
        <is>
          <t>P1</t>
        </is>
      </c>
      <c r="J87" t="inlineStr">
        <is>
          <t>Opening Stock (2,052) + Zero Inbound Supply cannot meet Demand (1,146). Week 6 within 7-week lead time.</t>
        </is>
      </c>
      <c r="K87" t="inlineStr"/>
      <c r="L87" t="inlineStr"/>
      <c r="M87" t="inlineStr"/>
      <c r="N87" t="inlineStr"/>
      <c r="O87" t="inlineStr"/>
      <c r="P87" t="inlineStr">
        <is>
          <t>Opening inventory of 2052 and supply of 0 are sufficient to cover the demand of 1146. However, the projected closing inventory of 906 falls 518 units below the target safety stock requirement of 1424, compromising the critical service level buffer.</t>
        </is>
      </c>
    </row>
    <row r="88">
      <c r="A88" t="inlineStr">
        <is>
          <t>2026-04-17</t>
        </is>
      </c>
      <c r="B88" t="inlineStr">
        <is>
          <t>BD-24536581-00087</t>
        </is>
      </c>
      <c r="C88" t="inlineStr">
        <is>
          <t>SKU_0003</t>
        </is>
      </c>
      <c r="D88" t="inlineStr">
        <is>
          <t>F1</t>
        </is>
      </c>
      <c r="E88" t="n">
        <v>7</v>
      </c>
      <c r="F88" t="n">
        <v>40</v>
      </c>
      <c r="G88" t="n">
        <v>844</v>
      </c>
      <c r="H88" t="inlineStr">
        <is>
          <t>High</t>
        </is>
      </c>
      <c r="I88" t="inlineStr">
        <is>
          <t>P1</t>
        </is>
      </c>
      <c r="J88" t="inlineStr">
        <is>
          <t>Opening Stock (906) + Zero Inbound Supply cannot meet Demand (326). Week 7 within 7-week lead time.</t>
        </is>
      </c>
      <c r="K88" t="inlineStr"/>
      <c r="L88" t="inlineStr"/>
      <c r="M88" t="inlineStr"/>
      <c r="N88" t="inlineStr"/>
      <c r="O88" t="inlineStr"/>
      <c r="P88" t="inlineStr">
        <is>
          <t>Opening inventory of 906 and supply of 0 are sufficient to cover the demand of 326. However, the projected closing inventory of 580 falls 844 units below the target safety stock requirement of 1424, compromising the critical service level buffer.</t>
        </is>
      </c>
    </row>
    <row r="89">
      <c r="A89" t="inlineStr">
        <is>
          <t>2026-04-17</t>
        </is>
      </c>
      <c r="B89" t="inlineStr">
        <is>
          <t>BD-24536581-00088</t>
        </is>
      </c>
      <c r="C89" t="inlineStr">
        <is>
          <t>SKU_0003</t>
        </is>
      </c>
      <c r="D89" t="inlineStr">
        <is>
          <t>F1</t>
        </is>
      </c>
      <c r="E89" t="n">
        <v>8</v>
      </c>
      <c r="F89" t="n">
        <v>0</v>
      </c>
      <c r="G89" t="n">
        <v>2122</v>
      </c>
      <c r="H89" t="inlineStr">
        <is>
          <t>Critical</t>
        </is>
      </c>
      <c r="I89" t="inlineStr">
        <is>
          <t>P1</t>
        </is>
      </c>
      <c r="J89" t="inlineStr">
        <is>
          <t>Opening Stock (580) + Zero Inbound Supply cannot meet Demand (1,278).</t>
        </is>
      </c>
      <c r="K89" t="inlineStr"/>
      <c r="L89" t="inlineStr"/>
      <c r="M89" t="inlineStr"/>
      <c r="N89" t="inlineStr"/>
      <c r="O89" t="inlineStr"/>
      <c r="P89" t="inlineStr">
        <is>
          <t>Opening inventory of 580 and supply of 0 are insufficient to cover the demand of 1278, leading to a projected stockout of 698 units and a breach of the 1424 unit safety stock target by 2122 units.</t>
        </is>
      </c>
    </row>
    <row r="90">
      <c r="A90" t="inlineStr">
        <is>
          <t>2026-04-17</t>
        </is>
      </c>
      <c r="B90" t="inlineStr">
        <is>
          <t>BD-24536581-00089</t>
        </is>
      </c>
      <c r="C90" t="inlineStr">
        <is>
          <t>SKU_0004</t>
        </is>
      </c>
      <c r="D90" t="inlineStr">
        <is>
          <t>DC2</t>
        </is>
      </c>
      <c r="E90" t="n">
        <v>2</v>
      </c>
      <c r="F90" t="inlineStr"/>
      <c r="G90" t="inlineStr"/>
      <c r="H90" t="inlineStr"/>
      <c r="I90" t="inlineStr"/>
      <c r="J90" t="inlineStr"/>
      <c r="K90" t="n">
        <v>21</v>
      </c>
      <c r="L90" t="n">
        <v>254</v>
      </c>
      <c r="M90" t="inlineStr">
        <is>
          <t>High</t>
        </is>
      </c>
      <c r="N90" t="inlineStr">
        <is>
          <t>P1</t>
        </is>
      </c>
      <c r="O90" t="inlineStr">
        <is>
          <t>Opening Stock (873) + Aggressive Supply (651) exceeds Forecast (111).</t>
        </is>
      </c>
      <c r="P90" t="inlineStr">
        <is>
          <t>Opening inventory of 873 and supply of 651 exceed the demand of 111, resulting in a projected surplus of 1413. This inventory levels violates the maximum stock threshold of 1159 units by 254 units, increasing holding risk.</t>
        </is>
      </c>
    </row>
    <row r="91">
      <c r="A91" t="inlineStr">
        <is>
          <t>2026-04-17</t>
        </is>
      </c>
      <c r="B91" t="inlineStr">
        <is>
          <t>BD-24536581-00090</t>
        </is>
      </c>
      <c r="C91" t="inlineStr">
        <is>
          <t>SKU_0004</t>
        </is>
      </c>
      <c r="D91" t="inlineStr">
        <is>
          <t>DC2</t>
        </is>
      </c>
      <c r="E91" t="n">
        <v>4</v>
      </c>
      <c r="F91" t="inlineStr"/>
      <c r="G91" t="inlineStr"/>
      <c r="H91" t="inlineStr"/>
      <c r="I91" t="inlineStr"/>
      <c r="J91" t="inlineStr"/>
      <c r="K91" t="n">
        <v>31</v>
      </c>
      <c r="L91" t="n">
        <v>360</v>
      </c>
      <c r="M91" t="inlineStr">
        <is>
          <t>High</t>
        </is>
      </c>
      <c r="N91" t="inlineStr">
        <is>
          <t>P1</t>
        </is>
      </c>
      <c r="O91" t="inlineStr">
        <is>
          <t>High Opening Stock (1,276) + Supply (333) exceeds Max Stock (1,159) vs Demand (90).</t>
        </is>
      </c>
      <c r="P91" t="inlineStr">
        <is>
          <t>Opening inventory of 1276 and supply of 333 exceed the demand of 90, resulting in a projected surplus of 1519. This inventory levels violates the maximum stock threshold of 1159 units by 360 units, increasing holding risk.</t>
        </is>
      </c>
    </row>
    <row r="92">
      <c r="A92" t="inlineStr">
        <is>
          <t>2026-04-17</t>
        </is>
      </c>
      <c r="B92" t="inlineStr">
        <is>
          <t>BD-24536581-00091</t>
        </is>
      </c>
      <c r="C92" t="inlineStr">
        <is>
          <t>SKU_0004</t>
        </is>
      </c>
      <c r="D92" t="inlineStr">
        <is>
          <t>DC2</t>
        </is>
      </c>
      <c r="E92" t="n">
        <v>5</v>
      </c>
      <c r="F92" t="inlineStr"/>
      <c r="G92" t="inlineStr"/>
      <c r="H92" t="inlineStr"/>
      <c r="I92" t="inlineStr"/>
      <c r="J92" t="inlineStr"/>
      <c r="K92" t="n">
        <v>22</v>
      </c>
      <c r="L92" t="n">
        <v>259</v>
      </c>
      <c r="M92" t="inlineStr">
        <is>
          <t>High</t>
        </is>
      </c>
      <c r="N92" t="inlineStr">
        <is>
          <t>P1</t>
        </is>
      </c>
      <c r="O92" t="inlineStr">
        <is>
          <t>High Opening Stock (1,519) + Supply (0) exceeds Max Stock (1,159) vs Demand (101).</t>
        </is>
      </c>
      <c r="P92" t="inlineStr">
        <is>
          <t>Opening inventory of 1519 and supply of 0 exceed the demand of 101, resulting in a projected surplus of 1418. This inventory levels violates the maximum stock threshold of 1159 units by 259 units, increasing holding risk.</t>
        </is>
      </c>
    </row>
    <row r="93">
      <c r="A93" t="inlineStr">
        <is>
          <t>2026-04-17</t>
        </is>
      </c>
      <c r="B93" t="inlineStr">
        <is>
          <t>BD-24536581-00092</t>
        </is>
      </c>
      <c r="C93" t="inlineStr">
        <is>
          <t>SKU_0004</t>
        </is>
      </c>
      <c r="D93" t="inlineStr">
        <is>
          <t>DC2</t>
        </is>
      </c>
      <c r="E93" t="n">
        <v>7</v>
      </c>
      <c r="F93" t="inlineStr"/>
      <c r="G93" t="inlineStr"/>
      <c r="H93" t="inlineStr"/>
      <c r="I93" t="inlineStr"/>
      <c r="J93" t="inlineStr"/>
      <c r="K93" t="n">
        <v>28</v>
      </c>
      <c r="L93" t="n">
        <v>335</v>
      </c>
      <c r="M93" t="inlineStr">
        <is>
          <t>High</t>
        </is>
      </c>
      <c r="N93" t="inlineStr">
        <is>
          <t>P1</t>
        </is>
      </c>
      <c r="O93" t="inlineStr">
        <is>
          <t>High Opening Stock (1,288) + Supply (351) exceeds Max Stock (1,159) vs Demand (145).</t>
        </is>
      </c>
      <c r="P93" t="inlineStr">
        <is>
          <t>Opening inventory of 1288 and supply of 0 exceed the demand of 145, resulting in a projected surplus of 1494. This inventory levels violates the maximum stock threshold of 1159 units by 335 units, increasing holding risk.</t>
        </is>
      </c>
    </row>
    <row r="94">
      <c r="A94" t="inlineStr">
        <is>
          <t>2026-04-17</t>
        </is>
      </c>
      <c r="B94" t="inlineStr">
        <is>
          <t>BD-24536581-00093</t>
        </is>
      </c>
      <c r="C94" t="inlineStr">
        <is>
          <t>SKU_0004</t>
        </is>
      </c>
      <c r="D94" t="inlineStr">
        <is>
          <t>DC2</t>
        </is>
      </c>
      <c r="E94" t="n">
        <v>8</v>
      </c>
      <c r="F94" t="inlineStr"/>
      <c r="G94" t="inlineStr"/>
      <c r="H94" t="inlineStr"/>
      <c r="I94" t="inlineStr"/>
      <c r="J94" t="inlineStr"/>
      <c r="K94" t="n">
        <v>43</v>
      </c>
      <c r="L94" t="n">
        <v>506</v>
      </c>
      <c r="M94" t="inlineStr">
        <is>
          <t>High</t>
        </is>
      </c>
      <c r="N94" t="inlineStr">
        <is>
          <t>P1</t>
        </is>
      </c>
      <c r="O94" t="inlineStr">
        <is>
          <t>High Opening Stock (1,494) + Supply (294) exceeds Max Stock (1,159) vs Demand (123).</t>
        </is>
      </c>
      <c r="P94" t="inlineStr">
        <is>
          <t>Opening inventory of 1494 and supply of 294 exceed the demand of 123, resulting in a projected surplus of 1665. This inventory levels violates the maximum stock threshold of 1159 units by 506 units, increasing holding risk.</t>
        </is>
      </c>
    </row>
    <row r="95">
      <c r="A95" t="inlineStr">
        <is>
          <t>2026-04-17</t>
        </is>
      </c>
      <c r="B95" t="inlineStr">
        <is>
          <t>BD-24536581-00094</t>
        </is>
      </c>
      <c r="C95" t="inlineStr">
        <is>
          <t>SKU_0004</t>
        </is>
      </c>
      <c r="D95" t="inlineStr">
        <is>
          <t>DC2</t>
        </is>
      </c>
      <c r="E95" t="n">
        <v>9</v>
      </c>
      <c r="F95" t="inlineStr"/>
      <c r="G95" t="inlineStr"/>
      <c r="H95" t="inlineStr"/>
      <c r="I95" t="inlineStr"/>
      <c r="J95" t="inlineStr"/>
      <c r="K95" t="n">
        <v>83</v>
      </c>
      <c r="L95" t="n">
        <v>962</v>
      </c>
      <c r="M95" t="inlineStr">
        <is>
          <t>High</t>
        </is>
      </c>
      <c r="N95" t="inlineStr">
        <is>
          <t>P1</t>
        </is>
      </c>
      <c r="O95" t="inlineStr">
        <is>
          <t>High Opening Stock (1,665) + Supply (606) exceeds Max Stock (1,159) vs Demand (150).</t>
        </is>
      </c>
      <c r="P95" t="inlineStr">
        <is>
          <t>Opening inventory of 1665 and supply of 606 exceed the demand of 150, resulting in a projected surplus of 2121. This inventory levels violates the maximum stock threshold of 1159 units by 962 units, increasing holding risk.</t>
        </is>
      </c>
    </row>
    <row r="96">
      <c r="A96" t="inlineStr">
        <is>
          <t>2026-04-17</t>
        </is>
      </c>
      <c r="B96" t="inlineStr">
        <is>
          <t>BD-24536581-00095</t>
        </is>
      </c>
      <c r="C96" t="inlineStr">
        <is>
          <t>SKU_0004</t>
        </is>
      </c>
      <c r="D96" t="inlineStr">
        <is>
          <t>DC2</t>
        </is>
      </c>
      <c r="E96" t="n">
        <v>10</v>
      </c>
      <c r="F96" t="inlineStr"/>
      <c r="G96" t="inlineStr"/>
      <c r="H96" t="inlineStr"/>
      <c r="I96" t="inlineStr"/>
      <c r="J96" t="inlineStr"/>
      <c r="K96" t="n">
        <v>98</v>
      </c>
      <c r="L96" t="n">
        <v>1138</v>
      </c>
      <c r="M96" t="inlineStr">
        <is>
          <t>High</t>
        </is>
      </c>
      <c r="N96" t="inlineStr">
        <is>
          <t>P1</t>
        </is>
      </c>
      <c r="O96" t="inlineStr">
        <is>
          <t>High Opening Stock (2,121) + Supply (282) exceeds Max Stock (1,159) vs Demand (106).</t>
        </is>
      </c>
      <c r="P96" t="inlineStr">
        <is>
          <t>Opening inventory of 2121 and supply of 282 exceed the demand of 106, resulting in a projected surplus of 2297. This inventory levels violates the maximum stock threshold of 1159 units by 1138 units, increasing holding risk.</t>
        </is>
      </c>
    </row>
    <row r="97">
      <c r="A97" t="inlineStr">
        <is>
          <t>2026-04-17</t>
        </is>
      </c>
      <c r="B97" t="inlineStr">
        <is>
          <t>BD-24536581-00096</t>
        </is>
      </c>
      <c r="C97" t="inlineStr">
        <is>
          <t>SKU_0004</t>
        </is>
      </c>
      <c r="D97" t="inlineStr">
        <is>
          <t>DC2</t>
        </is>
      </c>
      <c r="E97" t="n">
        <v>11</v>
      </c>
      <c r="F97" t="inlineStr"/>
      <c r="G97" t="inlineStr"/>
      <c r="H97" t="inlineStr"/>
      <c r="I97" t="inlineStr"/>
      <c r="J97" t="inlineStr"/>
      <c r="K97" t="n">
        <v>87</v>
      </c>
      <c r="L97" t="n">
        <v>1015</v>
      </c>
      <c r="M97" t="inlineStr">
        <is>
          <t>High</t>
        </is>
      </c>
      <c r="N97" t="inlineStr">
        <is>
          <t>P1</t>
        </is>
      </c>
      <c r="O97" t="inlineStr">
        <is>
          <t>High Opening Stock (2,297) + Supply (0) exceeds Max Stock (1,159) vs Demand (123).</t>
        </is>
      </c>
      <c r="P97" t="inlineStr">
        <is>
          <t>Opening inventory of 2297 and supply of 0 exceed the demand of 123, resulting in a projected surplus of 2174. This inventory levels violates the maximum stock threshold of 1159 units by 1015 units, increasing holding risk.</t>
        </is>
      </c>
    </row>
    <row r="98">
      <c r="A98" t="inlineStr">
        <is>
          <t>2026-04-17</t>
        </is>
      </c>
      <c r="B98" t="inlineStr">
        <is>
          <t>BD-24536581-00097</t>
        </is>
      </c>
      <c r="C98" t="inlineStr">
        <is>
          <t>SKU_0004</t>
        </is>
      </c>
      <c r="D98" t="inlineStr">
        <is>
          <t>DC2</t>
        </is>
      </c>
      <c r="E98" t="n">
        <v>12</v>
      </c>
      <c r="F98" t="inlineStr"/>
      <c r="G98" t="inlineStr"/>
      <c r="H98" t="inlineStr"/>
      <c r="I98" t="inlineStr"/>
      <c r="J98" t="inlineStr"/>
      <c r="K98" t="n">
        <v>93</v>
      </c>
      <c r="L98" t="n">
        <v>1079</v>
      </c>
      <c r="M98" t="inlineStr">
        <is>
          <t>High</t>
        </is>
      </c>
      <c r="N98" t="inlineStr">
        <is>
          <t>P1</t>
        </is>
      </c>
      <c r="O98" t="inlineStr">
        <is>
          <t>High Opening Stock (2,174) + Supply (198) exceeds Max Stock (1,159) vs Demand (134).</t>
        </is>
      </c>
      <c r="P98" t="inlineStr">
        <is>
          <t>Opening inventory of 2174 and supply of 0 exceed the demand of 134, resulting in a projected surplus of 2238. This inventory levels violates the maximum stock threshold of 1159 units by 1079 units, increasing holding risk.</t>
        </is>
      </c>
    </row>
    <row r="99">
      <c r="A99" t="inlineStr">
        <is>
          <t>2026-04-17</t>
        </is>
      </c>
      <c r="B99" t="inlineStr">
        <is>
          <t>BD-24536581-00098</t>
        </is>
      </c>
      <c r="C99" t="inlineStr">
        <is>
          <t>SKU_0004</t>
        </is>
      </c>
      <c r="D99" t="inlineStr">
        <is>
          <t>DC4</t>
        </is>
      </c>
      <c r="E99" t="n">
        <v>1</v>
      </c>
      <c r="F99" t="n">
        <v>44</v>
      </c>
      <c r="G99" t="n">
        <v>254</v>
      </c>
      <c r="H99" t="inlineStr">
        <is>
          <t>High</t>
        </is>
      </c>
      <c r="I99" t="inlineStr">
        <is>
          <t>P1</t>
        </is>
      </c>
      <c r="J99" t="inlineStr">
        <is>
          <t>Opening Stock (321) + Zero Inbound Supply cannot meet Demand (115). Week 1 within 3-week lead time.</t>
        </is>
      </c>
      <c r="K99" t="inlineStr"/>
      <c r="L99" t="inlineStr"/>
      <c r="M99" t="inlineStr"/>
      <c r="N99" t="inlineStr"/>
      <c r="O99" t="inlineStr"/>
      <c r="P99" t="inlineStr">
        <is>
          <t>Opening inventory of 321 and supply of 0 are sufficient to cover the demand of 115. However, the projected closing inventory of 206 falls 254 units below the target safety stock requirement of 460, compromising the critical service level buffer.</t>
        </is>
      </c>
    </row>
    <row r="100">
      <c r="A100" t="inlineStr">
        <is>
          <t>2026-04-17</t>
        </is>
      </c>
      <c r="B100" t="inlineStr">
        <is>
          <t>BD-24536581-00099</t>
        </is>
      </c>
      <c r="C100" t="inlineStr">
        <is>
          <t>SKU_0004</t>
        </is>
      </c>
      <c r="D100" t="inlineStr">
        <is>
          <t>DC4</t>
        </is>
      </c>
      <c r="E100" t="n">
        <v>2</v>
      </c>
      <c r="F100" t="n">
        <v>64</v>
      </c>
      <c r="G100" t="n">
        <v>162</v>
      </c>
      <c r="H100" t="inlineStr">
        <is>
          <t>High</t>
        </is>
      </c>
      <c r="I100" t="inlineStr">
        <is>
          <t>P1</t>
        </is>
      </c>
      <c r="J100" t="inlineStr">
        <is>
          <t>Low Opening Stock (206 vs SS 460) + Supply (208) cannot meet Demand (116). Week 2 within 3-week lead time.</t>
        </is>
      </c>
      <c r="K100" t="inlineStr"/>
      <c r="L100" t="inlineStr"/>
      <c r="M100" t="inlineStr"/>
      <c r="N100" t="inlineStr"/>
      <c r="O100" t="inlineStr"/>
      <c r="P100" t="inlineStr">
        <is>
          <t>Opening inventory of 206 and supply of 0 are sufficient to cover the demand of 116. However, the projected closing inventory of 298 falls 162 units below the target safety stock requirement of 460, compromising the critical service level buffer.</t>
        </is>
      </c>
    </row>
    <row r="101">
      <c r="A101" t="inlineStr">
        <is>
          <t>2026-04-17</t>
        </is>
      </c>
      <c r="B101" t="inlineStr">
        <is>
          <t>BD-24536581-00100</t>
        </is>
      </c>
      <c r="C101" t="inlineStr">
        <is>
          <t>SKU_0004</t>
        </is>
      </c>
      <c r="D101" t="inlineStr">
        <is>
          <t>DC4</t>
        </is>
      </c>
      <c r="E101" t="n">
        <v>3</v>
      </c>
      <c r="F101" t="n">
        <v>42</v>
      </c>
      <c r="G101" t="n">
        <v>263</v>
      </c>
      <c r="H101" t="inlineStr">
        <is>
          <t>High</t>
        </is>
      </c>
      <c r="I101" t="inlineStr">
        <is>
          <t>P1</t>
        </is>
      </c>
      <c r="J101" t="inlineStr">
        <is>
          <t>Opening Stock (298) + Zero Inbound Supply cannot meet Demand (101). Week 3 within 3-week lead time.</t>
        </is>
      </c>
      <c r="K101" t="inlineStr"/>
      <c r="L101" t="inlineStr"/>
      <c r="M101" t="inlineStr"/>
      <c r="N101" t="inlineStr"/>
      <c r="O101" t="inlineStr"/>
      <c r="P101" t="inlineStr">
        <is>
          <t>Opening inventory of 298 and supply of 0 are sufficient to cover the demand of 101. However, the projected closing inventory of 197 falls 263 units below the target safety stock requirement of 460, compromising the critical service level buffer.</t>
        </is>
      </c>
    </row>
    <row r="102">
      <c r="A102" t="inlineStr">
        <is>
          <t>2026-04-17</t>
        </is>
      </c>
      <c r="B102" t="inlineStr">
        <is>
          <t>BD-24536581-00101</t>
        </is>
      </c>
      <c r="C102" t="inlineStr">
        <is>
          <t>SKU_0004</t>
        </is>
      </c>
      <c r="D102" t="inlineStr">
        <is>
          <t>DC4</t>
        </is>
      </c>
      <c r="E102" t="n">
        <v>4</v>
      </c>
      <c r="F102" t="n">
        <v>87</v>
      </c>
      <c r="G102" t="n">
        <v>56</v>
      </c>
      <c r="H102" t="inlineStr">
        <is>
          <t>Medium</t>
        </is>
      </c>
      <c r="I102" t="inlineStr">
        <is>
          <t>P3</t>
        </is>
      </c>
      <c r="J102" t="inlineStr">
        <is>
          <t>Low Opening Stock (197 vs SS 460) + Supply (316) cannot meet Demand (109).</t>
        </is>
      </c>
      <c r="K102" t="inlineStr"/>
      <c r="L102" t="inlineStr"/>
      <c r="M102" t="inlineStr"/>
      <c r="N102" t="inlineStr"/>
      <c r="O102" t="inlineStr"/>
      <c r="P102" t="inlineStr">
        <is>
          <t>Opening inventory of 197 and supply of 0 are sufficient to cover the demand of 109. However, the projected closing inventory of 404 falls 56 units below the target safety stock requirement of 460, compromising the critical service level buffer.</t>
        </is>
      </c>
    </row>
    <row r="103">
      <c r="A103" t="inlineStr">
        <is>
          <t>2026-04-17</t>
        </is>
      </c>
      <c r="B103" t="inlineStr">
        <is>
          <t>BD-24536581-00102</t>
        </is>
      </c>
      <c r="C103" t="inlineStr">
        <is>
          <t>SKU_0004</t>
        </is>
      </c>
      <c r="D103" t="inlineStr">
        <is>
          <t>DC4</t>
        </is>
      </c>
      <c r="E103" t="n">
        <v>5</v>
      </c>
      <c r="F103" t="n">
        <v>56</v>
      </c>
      <c r="G103" t="n">
        <v>202</v>
      </c>
      <c r="H103" t="inlineStr">
        <is>
          <t>High</t>
        </is>
      </c>
      <c r="I103" t="inlineStr">
        <is>
          <t>P2</t>
        </is>
      </c>
      <c r="J103" t="inlineStr">
        <is>
          <t>Opening Stock (404) + Zero Inbound Supply cannot meet Demand (146).</t>
        </is>
      </c>
      <c r="K103" t="inlineStr"/>
      <c r="L103" t="inlineStr"/>
      <c r="M103" t="inlineStr"/>
      <c r="N103" t="inlineStr"/>
      <c r="O103" t="inlineStr"/>
      <c r="P103" t="inlineStr">
        <is>
          <t>Opening inventory of 404 and supply of 0 are sufficient to cover the demand of 146. However, the projected closing inventory of 258 falls 202 units below the target safety stock requirement of 460, compromising the critical service level buffer.</t>
        </is>
      </c>
    </row>
    <row r="104">
      <c r="A104" t="inlineStr">
        <is>
          <t>2026-04-17</t>
        </is>
      </c>
      <c r="B104" t="inlineStr">
        <is>
          <t>BD-24536581-00103</t>
        </is>
      </c>
      <c r="C104" t="inlineStr">
        <is>
          <t>SKU_0004</t>
        </is>
      </c>
      <c r="D104" t="inlineStr">
        <is>
          <t>DC5</t>
        </is>
      </c>
      <c r="E104" t="n">
        <v>1</v>
      </c>
      <c r="F104" t="inlineStr"/>
      <c r="G104" t="inlineStr"/>
      <c r="H104" t="inlineStr"/>
      <c r="I104" t="inlineStr"/>
      <c r="J104" t="inlineStr"/>
      <c r="K104" t="n">
        <v>24</v>
      </c>
      <c r="L104" t="n">
        <v>43</v>
      </c>
      <c r="M104" t="inlineStr">
        <is>
          <t>High</t>
        </is>
      </c>
      <c r="N104" t="inlineStr">
        <is>
          <t>P2</t>
        </is>
      </c>
      <c r="O104" t="inlineStr">
        <is>
          <t>High Opening Stock (195) + Supply (36) exceeds Max Stock (176) vs Demand (12).</t>
        </is>
      </c>
      <c r="P104" t="inlineStr">
        <is>
          <t>Opening inventory of 195 and supply of 36 exceed the demand of 12, resulting in a projected surplus of 219. This inventory levels violates the maximum stock threshold of 176 units by 43 units, increasing holding risk.</t>
        </is>
      </c>
    </row>
    <row r="105">
      <c r="A105" t="inlineStr">
        <is>
          <t>2026-04-17</t>
        </is>
      </c>
      <c r="B105" t="inlineStr">
        <is>
          <t>BD-24536581-00104</t>
        </is>
      </c>
      <c r="C105" t="inlineStr">
        <is>
          <t>SKU_0004</t>
        </is>
      </c>
      <c r="D105" t="inlineStr">
        <is>
          <t>DC5</t>
        </is>
      </c>
      <c r="E105" t="n">
        <v>2</v>
      </c>
      <c r="F105" t="inlineStr"/>
      <c r="G105" t="inlineStr"/>
      <c r="H105" t="inlineStr"/>
      <c r="I105" t="inlineStr"/>
      <c r="J105" t="inlineStr"/>
      <c r="K105" t="n">
        <v>36</v>
      </c>
      <c r="L105" t="n">
        <v>65</v>
      </c>
      <c r="M105" t="inlineStr">
        <is>
          <t>High</t>
        </is>
      </c>
      <c r="N105" t="inlineStr">
        <is>
          <t>P2</t>
        </is>
      </c>
      <c r="O105" t="inlineStr">
        <is>
          <t>High Opening Stock (219) + Supply (41) exceeds Max Stock (176) vs Demand (19).</t>
        </is>
      </c>
      <c r="P105" t="inlineStr">
        <is>
          <t>Opening inventory of 219 and supply of 0 exceed the demand of 19, resulting in a projected surplus of 241. This inventory levels violates the maximum stock threshold of 176 units by 65 units, increasing holding risk.</t>
        </is>
      </c>
    </row>
    <row r="106">
      <c r="A106" t="inlineStr">
        <is>
          <t>2026-04-17</t>
        </is>
      </c>
      <c r="B106" t="inlineStr">
        <is>
          <t>BD-24536581-00105</t>
        </is>
      </c>
      <c r="C106" t="inlineStr">
        <is>
          <t>SKU_0004</t>
        </is>
      </c>
      <c r="D106" t="inlineStr">
        <is>
          <t>DC5</t>
        </is>
      </c>
      <c r="E106" t="n">
        <v>3</v>
      </c>
      <c r="F106" t="inlineStr"/>
      <c r="G106" t="inlineStr"/>
      <c r="H106" t="inlineStr"/>
      <c r="I106" t="inlineStr"/>
      <c r="J106" t="inlineStr"/>
      <c r="K106" t="n">
        <v>26</v>
      </c>
      <c r="L106" t="n">
        <v>47</v>
      </c>
      <c r="M106" t="inlineStr">
        <is>
          <t>High</t>
        </is>
      </c>
      <c r="N106" t="inlineStr">
        <is>
          <t>P2</t>
        </is>
      </c>
      <c r="O106" t="inlineStr">
        <is>
          <t>High Opening Stock (241) + Supply (0) exceeds Max Stock (176) vs Demand (18).</t>
        </is>
      </c>
      <c r="P106" t="inlineStr">
        <is>
          <t>Opening inventory of 241 and supply of 0 exceed the demand of 18, resulting in a projected surplus of 223. This inventory levels violates the maximum stock threshold of 176 units by 47 units, increasing holding risk.</t>
        </is>
      </c>
    </row>
    <row r="107">
      <c r="A107" t="inlineStr">
        <is>
          <t>2026-04-17</t>
        </is>
      </c>
      <c r="B107" t="inlineStr">
        <is>
          <t>BD-24536581-00106</t>
        </is>
      </c>
      <c r="C107" t="inlineStr">
        <is>
          <t>SKU_0004</t>
        </is>
      </c>
      <c r="D107" t="inlineStr">
        <is>
          <t>DC5</t>
        </is>
      </c>
      <c r="E107" t="n">
        <v>5</v>
      </c>
      <c r="F107" t="inlineStr"/>
      <c r="G107" t="inlineStr"/>
      <c r="H107" t="inlineStr"/>
      <c r="I107" t="inlineStr"/>
      <c r="J107" t="inlineStr"/>
      <c r="K107" t="n">
        <v>8</v>
      </c>
      <c r="L107" t="n">
        <v>15</v>
      </c>
      <c r="M107" t="inlineStr">
        <is>
          <t>Low</t>
        </is>
      </c>
      <c r="N107" t="inlineStr">
        <is>
          <t>P2</t>
        </is>
      </c>
      <c r="O107" t="inlineStr">
        <is>
          <t>High Opening Stock (205) + Supply (0) exceeds Max Stock (176) vs Demand (14).</t>
        </is>
      </c>
      <c r="P107" t="inlineStr">
        <is>
          <t>Opening inventory of 205 and supply of 0 exceed the demand of 14, resulting in a projected surplus of 191. This inventory levels violates the maximum stock threshold of 176 units by 15 units, increasing holding risk.</t>
        </is>
      </c>
    </row>
    <row r="108">
      <c r="A108" t="inlineStr">
        <is>
          <t>2026-04-17</t>
        </is>
      </c>
      <c r="B108" t="inlineStr">
        <is>
          <t>BD-24536581-00107</t>
        </is>
      </c>
      <c r="C108" t="inlineStr">
        <is>
          <t>SKU_0004</t>
        </is>
      </c>
      <c r="D108" t="inlineStr">
        <is>
          <t>DC5</t>
        </is>
      </c>
      <c r="E108" t="n">
        <v>7</v>
      </c>
      <c r="F108" t="inlineStr"/>
      <c r="G108" t="inlineStr"/>
      <c r="H108" t="inlineStr"/>
      <c r="I108" t="inlineStr"/>
      <c r="J108" t="inlineStr"/>
      <c r="K108" t="n">
        <v>27</v>
      </c>
      <c r="L108" t="n">
        <v>49</v>
      </c>
      <c r="M108" t="inlineStr">
        <is>
          <t>High</t>
        </is>
      </c>
      <c r="N108" t="inlineStr">
        <is>
          <t>P2</t>
        </is>
      </c>
      <c r="O108" t="inlineStr">
        <is>
          <t>High Opening Stock (204) + Supply (33) exceeds Max Stock (176) vs Demand (12).</t>
        </is>
      </c>
      <c r="P108" t="inlineStr">
        <is>
          <t>Opening inventory of 204 and supply of 0 exceed the demand of 12, resulting in a projected surplus of 225. This inventory levels violates the maximum stock threshold of 176 units by 49 units, increasing holding risk.</t>
        </is>
      </c>
    </row>
    <row r="109">
      <c r="A109" t="inlineStr">
        <is>
          <t>2026-04-17</t>
        </is>
      </c>
      <c r="B109" t="inlineStr">
        <is>
          <t>BD-24536581-00108</t>
        </is>
      </c>
      <c r="C109" t="inlineStr">
        <is>
          <t>SKU_0004</t>
        </is>
      </c>
      <c r="D109" t="inlineStr">
        <is>
          <t>DC5</t>
        </is>
      </c>
      <c r="E109" t="n">
        <v>8</v>
      </c>
      <c r="F109" t="inlineStr"/>
      <c r="G109" t="inlineStr"/>
      <c r="H109" t="inlineStr"/>
      <c r="I109" t="inlineStr"/>
      <c r="J109" t="inlineStr"/>
      <c r="K109" t="n">
        <v>21</v>
      </c>
      <c r="L109" t="n">
        <v>37</v>
      </c>
      <c r="M109" t="inlineStr">
        <is>
          <t>High</t>
        </is>
      </c>
      <c r="N109" t="inlineStr">
        <is>
          <t>P2</t>
        </is>
      </c>
      <c r="O109" t="inlineStr">
        <is>
          <t>High Opening Stock (225) + Supply (0) exceeds Max Stock (176) vs Demand (12).</t>
        </is>
      </c>
      <c r="P109" t="inlineStr">
        <is>
          <t>Opening inventory of 225 and supply of 0 exceed the demand of 12, resulting in a projected surplus of 213. This inventory levels violates the maximum stock threshold of 176 units by 37 units, increasing holding risk.</t>
        </is>
      </c>
    </row>
    <row r="110">
      <c r="A110" t="inlineStr">
        <is>
          <t>2026-04-17</t>
        </is>
      </c>
      <c r="B110" t="inlineStr">
        <is>
          <t>BD-24536581-00109</t>
        </is>
      </c>
      <c r="C110" t="inlineStr">
        <is>
          <t>SKU_0004</t>
        </is>
      </c>
      <c r="D110" t="inlineStr">
        <is>
          <t>DC5</t>
        </is>
      </c>
      <c r="E110" t="n">
        <v>10</v>
      </c>
      <c r="F110" t="inlineStr"/>
      <c r="G110" t="inlineStr"/>
      <c r="H110" t="inlineStr"/>
      <c r="I110" t="inlineStr"/>
      <c r="J110" t="inlineStr"/>
      <c r="K110" t="n">
        <v>3</v>
      </c>
      <c r="L110" t="n">
        <v>6</v>
      </c>
      <c r="M110" t="inlineStr">
        <is>
          <t>Low</t>
        </is>
      </c>
      <c r="N110" t="inlineStr">
        <is>
          <t>P2</t>
        </is>
      </c>
      <c r="O110" t="inlineStr">
        <is>
          <t>High Opening Stock (200) + Supply (0) exceeds Max Stock (176) vs Demand (18).</t>
        </is>
      </c>
      <c r="P110" t="inlineStr">
        <is>
          <t>Opening inventory of 200 and supply of 0 exceed the demand of 18, resulting in a projected surplus of 182. This inventory levels violates the maximum stock threshold of 176 units by 6 units, increasing holding risk.</t>
        </is>
      </c>
    </row>
    <row r="111">
      <c r="A111" t="inlineStr">
        <is>
          <t>2026-04-17</t>
        </is>
      </c>
      <c r="B111" t="inlineStr">
        <is>
          <t>BD-24536581-00110</t>
        </is>
      </c>
      <c r="C111" t="inlineStr">
        <is>
          <t>SKU_0004</t>
        </is>
      </c>
      <c r="D111" t="inlineStr">
        <is>
          <t>F1</t>
        </is>
      </c>
      <c r="E111" t="n">
        <v>1</v>
      </c>
      <c r="F111" t="n">
        <v>38</v>
      </c>
      <c r="G111" t="n">
        <v>943</v>
      </c>
      <c r="H111" t="inlineStr">
        <is>
          <t>High</t>
        </is>
      </c>
      <c r="I111" t="inlineStr">
        <is>
          <t>P1</t>
        </is>
      </c>
      <c r="J111" t="inlineStr">
        <is>
          <t>Opening Stock (1,662) + Zero Inbound Supply cannot meet Demand (1,062). Week 1 within 6-week lead time.</t>
        </is>
      </c>
      <c r="K111" t="inlineStr"/>
      <c r="L111" t="inlineStr"/>
      <c r="M111" t="inlineStr"/>
      <c r="N111" t="inlineStr"/>
      <c r="O111" t="inlineStr"/>
      <c r="P111" t="inlineStr">
        <is>
          <t>Opening inventory of 1662 and supply of 0 are sufficient to cover the demand of 1062. However, the projected closing inventory of 600 falls 943 units below the target safety stock requirement of 1543, compromising the critical service level buffer.</t>
        </is>
      </c>
    </row>
    <row r="112">
      <c r="A112" t="inlineStr">
        <is>
          <t>2026-04-17</t>
        </is>
      </c>
      <c r="B112" t="inlineStr">
        <is>
          <t>BD-24536581-00111</t>
        </is>
      </c>
      <c r="C112" t="inlineStr">
        <is>
          <t>SKU_0004</t>
        </is>
      </c>
      <c r="D112" t="inlineStr">
        <is>
          <t>F1</t>
        </is>
      </c>
      <c r="E112" t="n">
        <v>2</v>
      </c>
      <c r="F112" t="n">
        <v>65</v>
      </c>
      <c r="G112" t="n">
        <v>534</v>
      </c>
      <c r="H112" t="inlineStr">
        <is>
          <t>High</t>
        </is>
      </c>
      <c r="I112" t="inlineStr">
        <is>
          <t>P1</t>
        </is>
      </c>
      <c r="J112" t="inlineStr">
        <is>
          <t>Low Opening Stock (600 vs SS 1,543) + Supply (409) cannot meet Demand (0). Week 2 within 6-week lead time.</t>
        </is>
      </c>
      <c r="K112" t="inlineStr"/>
      <c r="L112" t="inlineStr"/>
      <c r="M112" t="inlineStr"/>
      <c r="N112" t="inlineStr"/>
      <c r="O112" t="inlineStr"/>
      <c r="P112" t="inlineStr">
        <is>
          <t>Opening inventory of 600 and supply of 0 are sufficient to cover the demand of 0. However, the projected closing inventory of 1009 falls 534 units below the target safety stock requirement of 1543, compromising the critical service level buffer.</t>
        </is>
      </c>
    </row>
    <row r="113">
      <c r="A113" t="inlineStr">
        <is>
          <t>2026-04-17</t>
        </is>
      </c>
      <c r="B113" t="inlineStr">
        <is>
          <t>BD-24536581-00112</t>
        </is>
      </c>
      <c r="C113" t="inlineStr">
        <is>
          <t>SKU_0004</t>
        </is>
      </c>
      <c r="D113" t="inlineStr">
        <is>
          <t>F1</t>
        </is>
      </c>
      <c r="E113" t="n">
        <v>3</v>
      </c>
      <c r="F113" t="n">
        <v>92</v>
      </c>
      <c r="G113" t="n">
        <v>116</v>
      </c>
      <c r="H113" t="inlineStr">
        <is>
          <t>Low</t>
        </is>
      </c>
      <c r="I113" t="inlineStr">
        <is>
          <t>P2</t>
        </is>
      </c>
      <c r="J113" t="inlineStr">
        <is>
          <t>Opening Stock (1,009) + Supply (1,230) overwhelmed by Demand Surge (812 vs avg 496). Week 3 within 6-week lead time.</t>
        </is>
      </c>
      <c r="K113" t="inlineStr"/>
      <c r="L113" t="inlineStr"/>
      <c r="M113" t="inlineStr"/>
      <c r="N113" t="inlineStr"/>
      <c r="O113" t="inlineStr"/>
      <c r="P113" t="inlineStr">
        <is>
          <t>Opening inventory of 1009 and supply of 1230 are sufficient to cover the demand of 812. However, the projected closing inventory of 1427 falls 116 units below the target safety stock requirement of 1543, compromising the critical service level buffer.</t>
        </is>
      </c>
    </row>
    <row r="114">
      <c r="A114" t="inlineStr">
        <is>
          <t>2026-04-17</t>
        </is>
      </c>
      <c r="B114" t="inlineStr">
        <is>
          <t>BD-24536581-00113</t>
        </is>
      </c>
      <c r="C114" t="inlineStr">
        <is>
          <t>SKU_0004</t>
        </is>
      </c>
      <c r="D114" t="inlineStr">
        <is>
          <t>F1</t>
        </is>
      </c>
      <c r="E114" t="n">
        <v>6</v>
      </c>
      <c r="F114" t="n">
        <v>97</v>
      </c>
      <c r="G114" t="n">
        <v>45</v>
      </c>
      <c r="H114" t="inlineStr">
        <is>
          <t>Low</t>
        </is>
      </c>
      <c r="I114" t="inlineStr">
        <is>
          <t>P2</t>
        </is>
      </c>
      <c r="J114" t="inlineStr">
        <is>
          <t>Opening Stock (1,586) + Insufficient Supply (443) cannot meet Demand (531). Week 6 within 6-week lead time.</t>
        </is>
      </c>
      <c r="K114" t="inlineStr"/>
      <c r="L114" t="inlineStr"/>
      <c r="M114" t="inlineStr"/>
      <c r="N114" t="inlineStr"/>
      <c r="O114" t="inlineStr"/>
      <c r="P114" t="inlineStr">
        <is>
          <t>Opening inventory of 1586 and supply of 0 are sufficient to cover the demand of 531. However, the projected closing inventory of 1498 falls 45 units below the target safety stock requirement of 1543, compromising the critical service level buffer.</t>
        </is>
      </c>
    </row>
    <row r="115">
      <c r="A115" t="inlineStr">
        <is>
          <t>2026-04-17</t>
        </is>
      </c>
      <c r="B115" t="inlineStr">
        <is>
          <t>BD-24536581-00114</t>
        </is>
      </c>
      <c r="C115" t="inlineStr">
        <is>
          <t>SKU_0004</t>
        </is>
      </c>
      <c r="D115" t="inlineStr">
        <is>
          <t>F1</t>
        </is>
      </c>
      <c r="E115" t="n">
        <v>7</v>
      </c>
      <c r="F115" t="n">
        <v>50</v>
      </c>
      <c r="G115" t="n">
        <v>765</v>
      </c>
      <c r="H115" t="inlineStr">
        <is>
          <t>High</t>
        </is>
      </c>
      <c r="I115" t="inlineStr">
        <is>
          <t>P2</t>
        </is>
      </c>
      <c r="J115" t="inlineStr">
        <is>
          <t>Opening Stock (1,498) + Zero Inbound Supply cannot meet Demand (720).</t>
        </is>
      </c>
      <c r="K115" t="inlineStr"/>
      <c r="L115" t="inlineStr"/>
      <c r="M115" t="inlineStr"/>
      <c r="N115" t="inlineStr"/>
      <c r="O115" t="inlineStr"/>
      <c r="P115" t="inlineStr">
        <is>
          <t>Opening inventory of 1498 and supply of 0 are sufficient to cover the demand of 720. However, the projected closing inventory of 778 falls 765 units below the target safety stock requirement of 1543, compromising the critical service level buffer.</t>
        </is>
      </c>
    </row>
    <row r="116">
      <c r="A116" t="inlineStr">
        <is>
          <t>2026-04-17</t>
        </is>
      </c>
      <c r="B116" t="inlineStr">
        <is>
          <t>BD-24536581-00115</t>
        </is>
      </c>
      <c r="C116" t="inlineStr">
        <is>
          <t>SKU_0004</t>
        </is>
      </c>
      <c r="D116" t="inlineStr">
        <is>
          <t>F1</t>
        </is>
      </c>
      <c r="E116" t="n">
        <v>8</v>
      </c>
      <c r="F116" t="n">
        <v>11</v>
      </c>
      <c r="G116" t="n">
        <v>1371</v>
      </c>
      <c r="H116" t="inlineStr">
        <is>
          <t>High</t>
        </is>
      </c>
      <c r="I116" t="inlineStr">
        <is>
          <t>P2</t>
        </is>
      </c>
      <c r="J116" t="inlineStr">
        <is>
          <t>Opening Stock (778) + Zero Inbound Supply cannot meet Demand (606).</t>
        </is>
      </c>
      <c r="K116" t="inlineStr"/>
      <c r="L116" t="inlineStr"/>
      <c r="M116" t="inlineStr"/>
      <c r="N116" t="inlineStr"/>
      <c r="O116" t="inlineStr"/>
      <c r="P116" t="inlineStr">
        <is>
          <t>Opening inventory of 778 and supply of 0 are sufficient to cover the demand of 606. However, the projected closing inventory of 172 falls 1371 units below the target safety stock requirement of 1543, compromising the critical service level buffer.</t>
        </is>
      </c>
    </row>
    <row r="117">
      <c r="A117" t="inlineStr">
        <is>
          <t>2026-04-17</t>
        </is>
      </c>
      <c r="B117" t="inlineStr">
        <is>
          <t>BD-24536581-00116</t>
        </is>
      </c>
      <c r="C117" t="inlineStr">
        <is>
          <t>SKU_0004</t>
        </is>
      </c>
      <c r="D117" t="inlineStr">
        <is>
          <t>F1</t>
        </is>
      </c>
      <c r="E117" t="n">
        <v>9</v>
      </c>
      <c r="F117" t="n">
        <v>56</v>
      </c>
      <c r="G117" t="n">
        <v>672</v>
      </c>
      <c r="H117" t="inlineStr">
        <is>
          <t>High</t>
        </is>
      </c>
      <c r="I117" t="inlineStr">
        <is>
          <t>P2</t>
        </is>
      </c>
      <c r="J117" t="inlineStr">
        <is>
          <t>Opening Stock (172) + Supply (1,403) overwhelmed by Demand Surge (704 vs avg 496).</t>
        </is>
      </c>
      <c r="K117" t="inlineStr"/>
      <c r="L117" t="inlineStr"/>
      <c r="M117" t="inlineStr"/>
      <c r="N117" t="inlineStr"/>
      <c r="O117" t="inlineStr"/>
      <c r="P117" t="inlineStr">
        <is>
          <t>Opening inventory of 172 and supply of 1403 are sufficient to cover the demand of 704. However, the projected closing inventory of 871 falls 672 units below the target safety stock requirement of 1543, compromising the critical service level buffer.</t>
        </is>
      </c>
    </row>
    <row r="118">
      <c r="A118" t="inlineStr">
        <is>
          <t>2026-04-17</t>
        </is>
      </c>
      <c r="B118" t="inlineStr">
        <is>
          <t>BD-24536581-00117</t>
        </is>
      </c>
      <c r="C118" t="inlineStr">
        <is>
          <t>SKU_0004</t>
        </is>
      </c>
      <c r="D118" t="inlineStr">
        <is>
          <t>F1</t>
        </is>
      </c>
      <c r="E118" t="n">
        <v>10</v>
      </c>
      <c r="F118" t="n">
        <v>33</v>
      </c>
      <c r="G118" t="n">
        <v>1027</v>
      </c>
      <c r="H118" t="inlineStr">
        <is>
          <t>High</t>
        </is>
      </c>
      <c r="I118" t="inlineStr">
        <is>
          <t>P2</t>
        </is>
      </c>
      <c r="J118" t="inlineStr">
        <is>
          <t>Opening Stock (871) + Zero Inbound Supply cannot meet Demand (355).</t>
        </is>
      </c>
      <c r="K118" t="inlineStr"/>
      <c r="L118" t="inlineStr"/>
      <c r="M118" t="inlineStr"/>
      <c r="N118" t="inlineStr"/>
      <c r="O118" t="inlineStr"/>
      <c r="P118" t="inlineStr">
        <is>
          <t>Opening inventory of 871 and supply of 0 are sufficient to cover the demand of 355. However, the projected closing inventory of 516 falls 1027 units below the target safety stock requirement of 1543, compromising the critical service level buffer.</t>
        </is>
      </c>
    </row>
    <row r="119">
      <c r="A119" t="inlineStr">
        <is>
          <t>2026-04-17</t>
        </is>
      </c>
      <c r="B119" t="inlineStr">
        <is>
          <t>BD-24536581-00118</t>
        </is>
      </c>
      <c r="C119" t="inlineStr">
        <is>
          <t>SKU_0005</t>
        </is>
      </c>
      <c r="D119" t="inlineStr">
        <is>
          <t>DC1</t>
        </is>
      </c>
      <c r="E119" t="n">
        <v>2</v>
      </c>
      <c r="F119" t="inlineStr"/>
      <c r="G119" t="inlineStr"/>
      <c r="H119" t="inlineStr"/>
      <c r="I119" t="inlineStr"/>
      <c r="J119" t="inlineStr"/>
      <c r="K119" t="n">
        <v>63</v>
      </c>
      <c r="L119" t="n">
        <v>507</v>
      </c>
      <c r="M119" t="inlineStr">
        <is>
          <t>High</t>
        </is>
      </c>
      <c r="N119" t="inlineStr">
        <is>
          <t>P1</t>
        </is>
      </c>
      <c r="O119" t="inlineStr">
        <is>
          <t>Opening Stock (695) + Aggressive Supply (681) exceeds Forecast (65).</t>
        </is>
      </c>
      <c r="P119" t="inlineStr">
        <is>
          <t>Opening inventory of 695 and supply of 681 exceed the demand of 65, resulting in a projected surplus of 1311. This inventory levels violates the maximum stock threshold of 804 units by 507 units, increasing holding risk.</t>
        </is>
      </c>
    </row>
    <row r="120">
      <c r="A120" t="inlineStr">
        <is>
          <t>2026-04-17</t>
        </is>
      </c>
      <c r="B120" t="inlineStr">
        <is>
          <t>BD-24536581-00119</t>
        </is>
      </c>
      <c r="C120" t="inlineStr">
        <is>
          <t>SKU_0005</t>
        </is>
      </c>
      <c r="D120" t="inlineStr">
        <is>
          <t>DC1</t>
        </is>
      </c>
      <c r="E120" t="n">
        <v>3</v>
      </c>
      <c r="F120" t="inlineStr"/>
      <c r="G120" t="inlineStr"/>
      <c r="H120" t="inlineStr"/>
      <c r="I120" t="inlineStr"/>
      <c r="J120" t="inlineStr"/>
      <c r="K120" t="n">
        <v>49</v>
      </c>
      <c r="L120" t="n">
        <v>399</v>
      </c>
      <c r="M120" t="inlineStr">
        <is>
          <t>High</t>
        </is>
      </c>
      <c r="N120" t="inlineStr">
        <is>
          <t>P1</t>
        </is>
      </c>
      <c r="O120" t="inlineStr">
        <is>
          <t>High Opening Stock (1,311) + Supply (0) exceeds Max Stock (804) vs Demand (108).</t>
        </is>
      </c>
      <c r="P120" t="inlineStr">
        <is>
          <t>Opening inventory of 1311 and supply of 0 exceed the demand of 108, resulting in a projected surplus of 1203. This inventory levels violates the maximum stock threshold of 804 units by 399 units, increasing holding risk.</t>
        </is>
      </c>
    </row>
    <row r="121">
      <c r="A121" t="inlineStr">
        <is>
          <t>2026-04-17</t>
        </is>
      </c>
      <c r="B121" t="inlineStr">
        <is>
          <t>BD-24536581-00120</t>
        </is>
      </c>
      <c r="C121" t="inlineStr">
        <is>
          <t>SKU_0005</t>
        </is>
      </c>
      <c r="D121" t="inlineStr">
        <is>
          <t>DC1</t>
        </is>
      </c>
      <c r="E121" t="n">
        <v>4</v>
      </c>
      <c r="F121" t="inlineStr"/>
      <c r="G121" t="inlineStr"/>
      <c r="H121" t="inlineStr"/>
      <c r="I121" t="inlineStr"/>
      <c r="J121" t="inlineStr"/>
      <c r="K121" t="n">
        <v>62</v>
      </c>
      <c r="L121" t="n">
        <v>506</v>
      </c>
      <c r="M121" t="inlineStr">
        <is>
          <t>High</t>
        </is>
      </c>
      <c r="N121" t="inlineStr">
        <is>
          <t>P1</t>
        </is>
      </c>
      <c r="O121" t="inlineStr">
        <is>
          <t>High Opening Stock (1,203) + Supply (194) exceeds Max Stock (804) vs Demand (87).</t>
        </is>
      </c>
      <c r="P121" t="inlineStr">
        <is>
          <t>Opening inventory of 1203 and supply of 0 exceed the demand of 87, resulting in a projected surplus of 1310. This inventory levels violates the maximum stock threshold of 804 units by 506 units, increasing holding risk.</t>
        </is>
      </c>
    </row>
    <row r="122">
      <c r="A122" t="inlineStr">
        <is>
          <t>2026-04-17</t>
        </is>
      </c>
      <c r="B122" t="inlineStr">
        <is>
          <t>BD-24536581-00121</t>
        </is>
      </c>
      <c r="C122" t="inlineStr">
        <is>
          <t>SKU_0005</t>
        </is>
      </c>
      <c r="D122" t="inlineStr">
        <is>
          <t>DC1</t>
        </is>
      </c>
      <c r="E122" t="n">
        <v>5</v>
      </c>
      <c r="F122" t="inlineStr"/>
      <c r="G122" t="inlineStr"/>
      <c r="H122" t="inlineStr"/>
      <c r="I122" t="inlineStr"/>
      <c r="J122" t="inlineStr"/>
      <c r="K122" t="n">
        <v>80</v>
      </c>
      <c r="L122" t="n">
        <v>651</v>
      </c>
      <c r="M122" t="inlineStr">
        <is>
          <t>High</t>
        </is>
      </c>
      <c r="N122" t="inlineStr">
        <is>
          <t>P1</t>
        </is>
      </c>
      <c r="O122" t="inlineStr">
        <is>
          <t>High Opening Stock (1,310) + Supply (225) exceeds Max Stock (804) vs Demand (80).</t>
        </is>
      </c>
      <c r="P122" t="inlineStr">
        <is>
          <t>Opening inventory of 1310 and supply of 225 exceed the demand of 80, resulting in a projected surplus of 1455. This inventory levels violates the maximum stock threshold of 804 units by 651 units, increasing holding risk.</t>
        </is>
      </c>
    </row>
    <row r="123">
      <c r="A123" t="inlineStr">
        <is>
          <t>2026-04-17</t>
        </is>
      </c>
      <c r="B123" t="inlineStr">
        <is>
          <t>BD-24536581-00122</t>
        </is>
      </c>
      <c r="C123" t="inlineStr">
        <is>
          <t>SKU_0005</t>
        </is>
      </c>
      <c r="D123" t="inlineStr">
        <is>
          <t>DC1</t>
        </is>
      </c>
      <c r="E123" t="n">
        <v>6</v>
      </c>
      <c r="F123" t="inlineStr"/>
      <c r="G123" t="inlineStr"/>
      <c r="H123" t="inlineStr"/>
      <c r="I123" t="inlineStr"/>
      <c r="J123" t="inlineStr"/>
      <c r="K123" t="n">
        <v>146</v>
      </c>
      <c r="L123" t="n">
        <v>1178</v>
      </c>
      <c r="M123" t="inlineStr">
        <is>
          <t>High</t>
        </is>
      </c>
      <c r="N123" t="inlineStr">
        <is>
          <t>P1</t>
        </is>
      </c>
      <c r="O123" t="inlineStr">
        <is>
          <t>High Opening Stock (1,455) + Supply (610) exceeds Max Stock (804) vs Demand (83).</t>
        </is>
      </c>
      <c r="P123" t="inlineStr">
        <is>
          <t>Opening inventory of 1455 and supply of 610 exceed the demand of 83, resulting in a projected surplus of 1982. This inventory levels violates the maximum stock threshold of 804 units by 1178 units, increasing holding risk.</t>
        </is>
      </c>
    </row>
    <row r="124">
      <c r="A124" t="inlineStr">
        <is>
          <t>2026-04-17</t>
        </is>
      </c>
      <c r="B124" t="inlineStr">
        <is>
          <t>BD-24536581-00123</t>
        </is>
      </c>
      <c r="C124" t="inlineStr">
        <is>
          <t>SKU_0005</t>
        </is>
      </c>
      <c r="D124" t="inlineStr">
        <is>
          <t>DC1</t>
        </is>
      </c>
      <c r="E124" t="n">
        <v>7</v>
      </c>
      <c r="F124" t="inlineStr"/>
      <c r="G124" t="inlineStr"/>
      <c r="H124" t="inlineStr"/>
      <c r="I124" t="inlineStr"/>
      <c r="J124" t="inlineStr"/>
      <c r="K124" t="n">
        <v>135</v>
      </c>
      <c r="L124" t="n">
        <v>1093</v>
      </c>
      <c r="M124" t="inlineStr">
        <is>
          <t>High</t>
        </is>
      </c>
      <c r="N124" t="inlineStr">
        <is>
          <t>P1</t>
        </is>
      </c>
      <c r="O124" t="inlineStr">
        <is>
          <t>High Opening Stock (1,982) + Supply (0) exceeds Max Stock (804) vs Demand (85).</t>
        </is>
      </c>
      <c r="P124" t="inlineStr">
        <is>
          <t>Opening inventory of 1982 and supply of 0 exceed the demand of 85, resulting in a projected surplus of 1897. This inventory levels violates the maximum stock threshold of 804 units by 1093 units, increasing holding risk.</t>
        </is>
      </c>
    </row>
    <row r="125">
      <c r="A125" t="inlineStr">
        <is>
          <t>2026-04-17</t>
        </is>
      </c>
      <c r="B125" t="inlineStr">
        <is>
          <t>BD-24536581-00124</t>
        </is>
      </c>
      <c r="C125" t="inlineStr">
        <is>
          <t>SKU_0005</t>
        </is>
      </c>
      <c r="D125" t="inlineStr">
        <is>
          <t>DC1</t>
        </is>
      </c>
      <c r="E125" t="n">
        <v>8</v>
      </c>
      <c r="F125" t="inlineStr"/>
      <c r="G125" t="inlineStr"/>
      <c r="H125" t="inlineStr"/>
      <c r="I125" t="inlineStr"/>
      <c r="J125" t="inlineStr"/>
      <c r="K125" t="n">
        <v>197</v>
      </c>
      <c r="L125" t="n">
        <v>1588</v>
      </c>
      <c r="M125" t="inlineStr">
        <is>
          <t>High</t>
        </is>
      </c>
      <c r="N125" t="inlineStr">
        <is>
          <t>P1</t>
        </is>
      </c>
      <c r="O125" t="inlineStr">
        <is>
          <t>High Opening Stock (1,897) + Supply (575) exceeds Max Stock (804) vs Demand (80).</t>
        </is>
      </c>
      <c r="P125" t="inlineStr">
        <is>
          <t>Opening inventory of 1897 and supply of 575 exceed the demand of 80, resulting in a projected surplus of 2392. This inventory levels violates the maximum stock threshold of 804 units by 1588 units, increasing holding risk.</t>
        </is>
      </c>
    </row>
    <row r="126">
      <c r="A126" t="inlineStr">
        <is>
          <t>2026-04-17</t>
        </is>
      </c>
      <c r="B126" t="inlineStr">
        <is>
          <t>BD-24536581-00125</t>
        </is>
      </c>
      <c r="C126" t="inlineStr">
        <is>
          <t>SKU_0005</t>
        </is>
      </c>
      <c r="D126" t="inlineStr">
        <is>
          <t>DC1</t>
        </is>
      </c>
      <c r="E126" t="n">
        <v>9</v>
      </c>
      <c r="F126" t="inlineStr"/>
      <c r="G126" t="inlineStr"/>
      <c r="H126" t="inlineStr"/>
      <c r="I126" t="inlineStr"/>
      <c r="J126" t="inlineStr"/>
      <c r="K126" t="n">
        <v>202</v>
      </c>
      <c r="L126" t="n">
        <v>1630</v>
      </c>
      <c r="M126" t="inlineStr">
        <is>
          <t>High</t>
        </is>
      </c>
      <c r="N126" t="inlineStr">
        <is>
          <t>P1</t>
        </is>
      </c>
      <c r="O126" t="inlineStr">
        <is>
          <t>High Opening Stock (2,392) + Supply (135) exceeds Max Stock (804) vs Demand (93).</t>
        </is>
      </c>
      <c r="P126" t="inlineStr">
        <is>
          <t>Opening inventory of 2392 and supply of 135 exceed the demand of 93, resulting in a projected surplus of 2434. This inventory levels violates the maximum stock threshold of 804 units by 1630 units, increasing holding risk.</t>
        </is>
      </c>
    </row>
    <row r="127">
      <c r="A127" t="inlineStr">
        <is>
          <t>2026-04-17</t>
        </is>
      </c>
      <c r="B127" t="inlineStr">
        <is>
          <t>BD-24536581-00126</t>
        </is>
      </c>
      <c r="C127" t="inlineStr">
        <is>
          <t>SKU_0005</t>
        </is>
      </c>
      <c r="D127" t="inlineStr">
        <is>
          <t>DC1</t>
        </is>
      </c>
      <c r="E127" t="n">
        <v>10</v>
      </c>
      <c r="F127" t="inlineStr"/>
      <c r="G127" t="inlineStr"/>
      <c r="H127" t="inlineStr"/>
      <c r="I127" t="inlineStr"/>
      <c r="J127" t="inlineStr"/>
      <c r="K127" t="n">
        <v>220</v>
      </c>
      <c r="L127" t="n">
        <v>1769</v>
      </c>
      <c r="M127" t="inlineStr">
        <is>
          <t>High</t>
        </is>
      </c>
      <c r="N127" t="inlineStr">
        <is>
          <t>P1</t>
        </is>
      </c>
      <c r="O127" t="inlineStr">
        <is>
          <t>High Opening Stock (2,434) + Supply (243) exceeds Max Stock (804) vs Demand (104).</t>
        </is>
      </c>
      <c r="P127" t="inlineStr">
        <is>
          <t>Opening inventory of 2434 and supply of 0 exceed the demand of 104, resulting in a projected surplus of 2573. This inventory levels violates the maximum stock threshold of 804 units by 1769 units, increasing holding risk.</t>
        </is>
      </c>
    </row>
    <row r="128">
      <c r="A128" t="inlineStr">
        <is>
          <t>2026-04-17</t>
        </is>
      </c>
      <c r="B128" t="inlineStr">
        <is>
          <t>BD-24536581-00127</t>
        </is>
      </c>
      <c r="C128" t="inlineStr">
        <is>
          <t>SKU_0005</t>
        </is>
      </c>
      <c r="D128" t="inlineStr">
        <is>
          <t>DC1</t>
        </is>
      </c>
      <c r="E128" t="n">
        <v>11</v>
      </c>
      <c r="F128" t="inlineStr"/>
      <c r="G128" t="inlineStr"/>
      <c r="H128" t="inlineStr"/>
      <c r="I128" t="inlineStr"/>
      <c r="J128" t="inlineStr"/>
      <c r="K128" t="n">
        <v>207</v>
      </c>
      <c r="L128" t="n">
        <v>1668</v>
      </c>
      <c r="M128" t="inlineStr">
        <is>
          <t>High</t>
        </is>
      </c>
      <c r="N128" t="inlineStr">
        <is>
          <t>P1</t>
        </is>
      </c>
      <c r="O128" t="inlineStr">
        <is>
          <t>High Opening Stock (2,573) + Supply (0) exceeds Max Stock (804) vs Demand (101).</t>
        </is>
      </c>
      <c r="P128" t="inlineStr">
        <is>
          <t>Opening inventory of 2573 and supply of 0 exceed the demand of 101, resulting in a projected surplus of 2472. This inventory levels violates the maximum stock threshold of 804 units by 1668 units, increasing holding risk.</t>
        </is>
      </c>
    </row>
    <row r="129">
      <c r="A129" t="inlineStr">
        <is>
          <t>2026-04-17</t>
        </is>
      </c>
      <c r="B129" t="inlineStr">
        <is>
          <t>BD-24536581-00128</t>
        </is>
      </c>
      <c r="C129" t="inlineStr">
        <is>
          <t>SKU_0005</t>
        </is>
      </c>
      <c r="D129" t="inlineStr">
        <is>
          <t>DC1</t>
        </is>
      </c>
      <c r="E129" t="n">
        <v>12</v>
      </c>
      <c r="F129" t="inlineStr"/>
      <c r="G129" t="inlineStr"/>
      <c r="H129" t="inlineStr"/>
      <c r="I129" t="inlineStr"/>
      <c r="J129" t="inlineStr"/>
      <c r="K129" t="n">
        <v>196</v>
      </c>
      <c r="L129" t="n">
        <v>1579</v>
      </c>
      <c r="M129" t="inlineStr">
        <is>
          <t>High</t>
        </is>
      </c>
      <c r="N129" t="inlineStr">
        <is>
          <t>P1</t>
        </is>
      </c>
      <c r="O129" t="inlineStr">
        <is>
          <t>High Opening Stock (2,472) + Supply (0) exceeds Max Stock (804) vs Demand (89).</t>
        </is>
      </c>
      <c r="P129" t="inlineStr">
        <is>
          <t>Opening inventory of 2472 and supply of 0 exceed the demand of 89, resulting in a projected surplus of 2383. This inventory levels violates the maximum stock threshold of 804 units by 1579 units, increasing holding risk.</t>
        </is>
      </c>
    </row>
    <row r="130">
      <c r="A130" t="inlineStr">
        <is>
          <t>2026-04-17</t>
        </is>
      </c>
      <c r="B130" t="inlineStr">
        <is>
          <t>BD-24536581-00129</t>
        </is>
      </c>
      <c r="C130" t="inlineStr">
        <is>
          <t>SKU_0005</t>
        </is>
      </c>
      <c r="D130" t="inlineStr">
        <is>
          <t>DC4</t>
        </is>
      </c>
      <c r="E130" t="n">
        <v>5</v>
      </c>
      <c r="F130" t="inlineStr"/>
      <c r="G130" t="inlineStr"/>
      <c r="H130" t="inlineStr"/>
      <c r="I130" t="inlineStr"/>
      <c r="J130" t="inlineStr"/>
      <c r="K130" t="n">
        <v>4</v>
      </c>
      <c r="L130" t="n">
        <v>12</v>
      </c>
      <c r="M130" t="inlineStr">
        <is>
          <t>Low</t>
        </is>
      </c>
      <c r="N130" t="inlineStr">
        <is>
          <t>P2</t>
        </is>
      </c>
      <c r="O130" t="inlineStr">
        <is>
          <t>Opening Stock (181) + Aggressive Supply (129) exceeds Forecast (17).</t>
        </is>
      </c>
      <c r="P130" t="inlineStr">
        <is>
          <t>Opening inventory of 181 and supply of 129 exceed the demand of 17, resulting in a projected surplus of 293. This inventory levels violates the maximum stock threshold of 281 units by 12 units, increasing holding risk.</t>
        </is>
      </c>
    </row>
    <row r="131">
      <c r="A131" t="inlineStr">
        <is>
          <t>2026-04-17</t>
        </is>
      </c>
      <c r="B131" t="inlineStr">
        <is>
          <t>BD-24536581-00130</t>
        </is>
      </c>
      <c r="C131" t="inlineStr">
        <is>
          <t>SKU_0005</t>
        </is>
      </c>
      <c r="D131" t="inlineStr">
        <is>
          <t>DC4</t>
        </is>
      </c>
      <c r="E131" t="n">
        <v>9</v>
      </c>
      <c r="F131" t="inlineStr"/>
      <c r="G131" t="inlineStr"/>
      <c r="H131" t="inlineStr"/>
      <c r="I131" t="inlineStr"/>
      <c r="J131" t="inlineStr"/>
      <c r="K131" t="n">
        <v>8</v>
      </c>
      <c r="L131" t="n">
        <v>24</v>
      </c>
      <c r="M131" t="inlineStr">
        <is>
          <t>Low</t>
        </is>
      </c>
      <c r="N131" t="inlineStr">
        <is>
          <t>P2</t>
        </is>
      </c>
      <c r="O131" t="inlineStr">
        <is>
          <t>High Opening Stock (318) + Supply (0) exceeds Max Stock (281) vs Demand (13).</t>
        </is>
      </c>
      <c r="P131" t="inlineStr">
        <is>
          <t>Opening inventory of 318 and supply of 0 exceed the demand of 13, resulting in a projected surplus of 305. This inventory levels violates the maximum stock threshold of 281 units by 24 units, increasing holding risk.</t>
        </is>
      </c>
    </row>
    <row r="132">
      <c r="A132" t="inlineStr">
        <is>
          <t>2026-04-17</t>
        </is>
      </c>
      <c r="B132" t="inlineStr">
        <is>
          <t>BD-24536581-00131</t>
        </is>
      </c>
      <c r="C132" t="inlineStr">
        <is>
          <t>SKU_0005</t>
        </is>
      </c>
      <c r="D132" t="inlineStr">
        <is>
          <t>DC5</t>
        </is>
      </c>
      <c r="E132" t="n">
        <v>3</v>
      </c>
      <c r="F132" t="inlineStr"/>
      <c r="G132" t="inlineStr"/>
      <c r="H132" t="inlineStr"/>
      <c r="I132" t="inlineStr"/>
      <c r="J132" t="inlineStr"/>
      <c r="K132" t="n">
        <v>0</v>
      </c>
      <c r="L132" t="n">
        <v>2</v>
      </c>
      <c r="M132" t="inlineStr">
        <is>
          <t>Low</t>
        </is>
      </c>
      <c r="N132" t="inlineStr">
        <is>
          <t>P2</t>
        </is>
      </c>
      <c r="O132" t="inlineStr">
        <is>
          <t>Opening Stock (1,222) + Aggressive Supply (290) exceeds Forecast (128).</t>
        </is>
      </c>
      <c r="P132" t="inlineStr">
        <is>
          <t>Opening inventory of 1222 and supply of 290 exceed the demand of 128, resulting in a projected surplus of 1384. This inventory levels violates the maximum stock threshold of 1382 units by 2 units, increasing holding risk.</t>
        </is>
      </c>
    </row>
    <row r="133">
      <c r="A133" t="inlineStr">
        <is>
          <t>2026-04-17</t>
        </is>
      </c>
      <c r="B133" t="inlineStr">
        <is>
          <t>BD-24536581-00132</t>
        </is>
      </c>
      <c r="C133" t="inlineStr">
        <is>
          <t>SKU_0005</t>
        </is>
      </c>
      <c r="D133" t="inlineStr">
        <is>
          <t>DC5</t>
        </is>
      </c>
      <c r="E133" t="n">
        <v>6</v>
      </c>
      <c r="F133" t="inlineStr"/>
      <c r="G133" t="inlineStr"/>
      <c r="H133" t="inlineStr"/>
      <c r="I133" t="inlineStr"/>
      <c r="J133" t="inlineStr"/>
      <c r="K133" t="n">
        <v>32</v>
      </c>
      <c r="L133" t="n">
        <v>453</v>
      </c>
      <c r="M133" t="inlineStr">
        <is>
          <t>High</t>
        </is>
      </c>
      <c r="N133" t="inlineStr">
        <is>
          <t>P2</t>
        </is>
      </c>
      <c r="O133" t="inlineStr">
        <is>
          <t>Opening Stock (1,330) + Aggressive Supply (616) exceeds Forecast (111).</t>
        </is>
      </c>
      <c r="P133" t="inlineStr">
        <is>
          <t>Opening inventory of 1330 and supply of 616 exceed the demand of 111, resulting in a projected surplus of 1835. This inventory levels violates the maximum stock threshold of 1382 units by 453 units, increasing holding risk.</t>
        </is>
      </c>
    </row>
    <row r="134">
      <c r="A134" t="inlineStr">
        <is>
          <t>2026-04-17</t>
        </is>
      </c>
      <c r="B134" t="inlineStr">
        <is>
          <t>BD-24536581-00133</t>
        </is>
      </c>
      <c r="C134" t="inlineStr">
        <is>
          <t>SKU_0005</t>
        </is>
      </c>
      <c r="D134" t="inlineStr">
        <is>
          <t>DC5</t>
        </is>
      </c>
      <c r="E134" t="n">
        <v>7</v>
      </c>
      <c r="F134" t="inlineStr"/>
      <c r="G134" t="inlineStr"/>
      <c r="H134" t="inlineStr"/>
      <c r="I134" t="inlineStr"/>
      <c r="J134" t="inlineStr"/>
      <c r="K134" t="n">
        <v>46</v>
      </c>
      <c r="L134" t="n">
        <v>644</v>
      </c>
      <c r="M134" t="inlineStr">
        <is>
          <t>High</t>
        </is>
      </c>
      <c r="N134" t="inlineStr">
        <is>
          <t>P2</t>
        </is>
      </c>
      <c r="O134" t="inlineStr">
        <is>
          <t>High Opening Stock (1,835) + Supply (309) exceeds Max Stock (1,382) vs Demand (118).</t>
        </is>
      </c>
      <c r="P134" t="inlineStr">
        <is>
          <t>Opening inventory of 1835 and supply of 0 exceed the demand of 118, resulting in a projected surplus of 2026. This inventory levels violates the maximum stock threshold of 1382 units by 644 units, increasing holding risk.</t>
        </is>
      </c>
    </row>
    <row r="135">
      <c r="A135" t="inlineStr">
        <is>
          <t>2026-04-17</t>
        </is>
      </c>
      <c r="B135" t="inlineStr">
        <is>
          <t>BD-24536581-00134</t>
        </is>
      </c>
      <c r="C135" t="inlineStr">
        <is>
          <t>SKU_0005</t>
        </is>
      </c>
      <c r="D135" t="inlineStr">
        <is>
          <t>DC5</t>
        </is>
      </c>
      <c r="E135" t="n">
        <v>8</v>
      </c>
      <c r="F135" t="inlineStr"/>
      <c r="G135" t="inlineStr"/>
      <c r="H135" t="inlineStr"/>
      <c r="I135" t="inlineStr"/>
      <c r="J135" t="inlineStr"/>
      <c r="K135" t="n">
        <v>37</v>
      </c>
      <c r="L135" t="n">
        <v>519</v>
      </c>
      <c r="M135" t="inlineStr">
        <is>
          <t>High</t>
        </is>
      </c>
      <c r="N135" t="inlineStr">
        <is>
          <t>P2</t>
        </is>
      </c>
      <c r="O135" t="inlineStr">
        <is>
          <t>High Opening Stock (2,026) + Supply (0) exceeds Max Stock (1,382) vs Demand (125).</t>
        </is>
      </c>
      <c r="P135" t="inlineStr">
        <is>
          <t>Opening inventory of 2026 and supply of 0 exceed the demand of 125, resulting in a projected surplus of 1901. This inventory levels violates the maximum stock threshold of 1382 units by 519 units, increasing holding risk.</t>
        </is>
      </c>
    </row>
    <row r="136">
      <c r="A136" t="inlineStr">
        <is>
          <t>2026-04-17</t>
        </is>
      </c>
      <c r="B136" t="inlineStr">
        <is>
          <t>BD-24536581-00135</t>
        </is>
      </c>
      <c r="C136" t="inlineStr">
        <is>
          <t>SKU_0005</t>
        </is>
      </c>
      <c r="D136" t="inlineStr">
        <is>
          <t>DC5</t>
        </is>
      </c>
      <c r="E136" t="n">
        <v>9</v>
      </c>
      <c r="F136" t="inlineStr"/>
      <c r="G136" t="inlineStr"/>
      <c r="H136" t="inlineStr"/>
      <c r="I136" t="inlineStr"/>
      <c r="J136" t="inlineStr"/>
      <c r="K136" t="n">
        <v>38</v>
      </c>
      <c r="L136" t="n">
        <v>527</v>
      </c>
      <c r="M136" t="inlineStr">
        <is>
          <t>High</t>
        </is>
      </c>
      <c r="N136" t="inlineStr">
        <is>
          <t>P2</t>
        </is>
      </c>
      <c r="O136" t="inlineStr">
        <is>
          <t>High Opening Stock (1,901) + Supply (120) exceeds Max Stock (1,382) vs Demand (112).</t>
        </is>
      </c>
      <c r="P136" t="inlineStr">
        <is>
          <t>Opening inventory of 1901 and supply of 0 exceed the demand of 112, resulting in a projected surplus of 1909. This inventory levels violates the maximum stock threshold of 1382 units by 527 units, increasing holding risk.</t>
        </is>
      </c>
    </row>
    <row r="137">
      <c r="A137" t="inlineStr">
        <is>
          <t>2026-04-17</t>
        </is>
      </c>
      <c r="B137" t="inlineStr">
        <is>
          <t>BD-24536581-00136</t>
        </is>
      </c>
      <c r="C137" t="inlineStr">
        <is>
          <t>SKU_0005</t>
        </is>
      </c>
      <c r="D137" t="inlineStr">
        <is>
          <t>DC5</t>
        </is>
      </c>
      <c r="E137" t="n">
        <v>10</v>
      </c>
      <c r="F137" t="inlineStr"/>
      <c r="G137" t="inlineStr"/>
      <c r="H137" t="inlineStr"/>
      <c r="I137" t="inlineStr"/>
      <c r="J137" t="inlineStr"/>
      <c r="K137" t="n">
        <v>31</v>
      </c>
      <c r="L137" t="n">
        <v>434</v>
      </c>
      <c r="M137" t="inlineStr">
        <is>
          <t>High</t>
        </is>
      </c>
      <c r="N137" t="inlineStr">
        <is>
          <t>P2</t>
        </is>
      </c>
      <c r="O137" t="inlineStr">
        <is>
          <t>High Opening Stock (1,909) + Supply (0) exceeds Max Stock (1,382) vs Demand (93).</t>
        </is>
      </c>
      <c r="P137" t="inlineStr">
        <is>
          <t>Opening inventory of 1909 and supply of 0 exceed the demand of 93, resulting in a projected surplus of 1816. This inventory levels violates the maximum stock threshold of 1382 units by 434 units, increasing holding risk.</t>
        </is>
      </c>
    </row>
    <row r="138">
      <c r="A138" t="inlineStr">
        <is>
          <t>2026-04-17</t>
        </is>
      </c>
      <c r="B138" t="inlineStr">
        <is>
          <t>BD-24536581-00137</t>
        </is>
      </c>
      <c r="C138" t="inlineStr">
        <is>
          <t>SKU_0005</t>
        </is>
      </c>
      <c r="D138" t="inlineStr">
        <is>
          <t>DC5</t>
        </is>
      </c>
      <c r="E138" t="n">
        <v>11</v>
      </c>
      <c r="F138" t="inlineStr"/>
      <c r="G138" t="inlineStr"/>
      <c r="H138" t="inlineStr"/>
      <c r="I138" t="inlineStr"/>
      <c r="J138" t="inlineStr"/>
      <c r="K138" t="n">
        <v>24</v>
      </c>
      <c r="L138" t="n">
        <v>336</v>
      </c>
      <c r="M138" t="inlineStr">
        <is>
          <t>High</t>
        </is>
      </c>
      <c r="N138" t="inlineStr">
        <is>
          <t>P2</t>
        </is>
      </c>
      <c r="O138" t="inlineStr">
        <is>
          <t>High Opening Stock (1,816) + Supply (0) exceeds Max Stock (1,382) vs Demand (98).</t>
        </is>
      </c>
      <c r="P138" t="inlineStr">
        <is>
          <t>Opening inventory of 1816 and supply of 0 exceed the demand of 98, resulting in a projected surplus of 1718. This inventory levels violates the maximum stock threshold of 1382 units by 336 units, increasing holding risk.</t>
        </is>
      </c>
    </row>
    <row r="139">
      <c r="A139" t="inlineStr">
        <is>
          <t>2026-04-17</t>
        </is>
      </c>
      <c r="B139" t="inlineStr">
        <is>
          <t>BD-24536581-00138</t>
        </is>
      </c>
      <c r="C139" t="inlineStr">
        <is>
          <t>SKU_0005</t>
        </is>
      </c>
      <c r="D139" t="inlineStr">
        <is>
          <t>F1</t>
        </is>
      </c>
      <c r="E139" t="n">
        <v>4</v>
      </c>
      <c r="F139" t="inlineStr"/>
      <c r="G139" t="inlineStr"/>
      <c r="H139" t="inlineStr"/>
      <c r="I139" t="inlineStr"/>
      <c r="J139" t="inlineStr"/>
      <c r="K139" t="n">
        <v>2</v>
      </c>
      <c r="L139" t="n">
        <v>78</v>
      </c>
      <c r="M139" t="inlineStr">
        <is>
          <t>Low</t>
        </is>
      </c>
      <c r="N139" t="inlineStr">
        <is>
          <t>P2</t>
        </is>
      </c>
      <c r="O139" t="inlineStr">
        <is>
          <t>High Opening Stock (3,518) + Supply (0) exceeds Max Stock (3,086) vs Demand (354).</t>
        </is>
      </c>
      <c r="P139" t="inlineStr">
        <is>
          <t>Opening inventory of 3518 and supply of 0 exceed the demand of 354, resulting in a projected surplus of 3164. This inventory levels violates the maximum stock threshold of 3086 units by 78 units, increasing holding risk.</t>
        </is>
      </c>
    </row>
    <row r="140">
      <c r="A140" t="inlineStr">
        <is>
          <t>2026-04-17</t>
        </is>
      </c>
      <c r="B140" t="inlineStr">
        <is>
          <t>BD-24536581-00139</t>
        </is>
      </c>
      <c r="C140" t="inlineStr">
        <is>
          <t>SKU_0005</t>
        </is>
      </c>
      <c r="D140" t="inlineStr">
        <is>
          <t>F1</t>
        </is>
      </c>
      <c r="E140" t="n">
        <v>5</v>
      </c>
      <c r="F140" t="inlineStr"/>
      <c r="G140" t="inlineStr"/>
      <c r="H140" t="inlineStr"/>
      <c r="I140" t="inlineStr"/>
      <c r="J140" t="inlineStr"/>
      <c r="K140" t="n">
        <v>27</v>
      </c>
      <c r="L140" t="n">
        <v>844</v>
      </c>
      <c r="M140" t="inlineStr">
        <is>
          <t>High</t>
        </is>
      </c>
      <c r="N140" t="inlineStr">
        <is>
          <t>P1</t>
        </is>
      </c>
      <c r="O140" t="inlineStr">
        <is>
          <t>High Opening Stock (3,164) + Supply (2,110) exceeds Max Stock (3,086) vs Demand (1,344).</t>
        </is>
      </c>
      <c r="P140" t="inlineStr">
        <is>
          <t>Opening inventory of 3164 and supply of 2110 exceed the demand of 1344, resulting in a projected surplus of 3930. This inventory levels violates the maximum stock threshold of 3086 units by 844 units, increasing holding risk.</t>
        </is>
      </c>
    </row>
    <row r="141">
      <c r="A141" t="inlineStr">
        <is>
          <t>2026-04-17</t>
        </is>
      </c>
      <c r="B141" t="inlineStr">
        <is>
          <t>BD-24536581-00140</t>
        </is>
      </c>
      <c r="C141" t="inlineStr">
        <is>
          <t>SKU_0005</t>
        </is>
      </c>
      <c r="D141" t="inlineStr">
        <is>
          <t>F1</t>
        </is>
      </c>
      <c r="E141" t="n">
        <v>6</v>
      </c>
      <c r="F141" t="inlineStr"/>
      <c r="G141" t="inlineStr"/>
      <c r="H141" t="inlineStr"/>
      <c r="I141" t="inlineStr"/>
      <c r="J141" t="inlineStr"/>
      <c r="K141" t="n">
        <v>44</v>
      </c>
      <c r="L141" t="n">
        <v>1385</v>
      </c>
      <c r="M141" t="inlineStr">
        <is>
          <t>High</t>
        </is>
      </c>
      <c r="N141" t="inlineStr">
        <is>
          <t>P1</t>
        </is>
      </c>
      <c r="O141" t="inlineStr">
        <is>
          <t>High Opening Stock (3,930) + Supply (621) exceeds Max Stock (3,086) vs Demand (80).</t>
        </is>
      </c>
      <c r="P141" t="inlineStr">
        <is>
          <t>Opening inventory of 3930 and supply of 621 exceed the demand of 80, resulting in a projected surplus of 4471. This inventory levels violates the maximum stock threshold of 3086 units by 1385 units, increasing holding risk.</t>
        </is>
      </c>
    </row>
    <row r="142">
      <c r="A142" t="inlineStr">
        <is>
          <t>2026-04-17</t>
        </is>
      </c>
      <c r="B142" t="inlineStr">
        <is>
          <t>BD-24536581-00141</t>
        </is>
      </c>
      <c r="C142" t="inlineStr">
        <is>
          <t>SKU_0005</t>
        </is>
      </c>
      <c r="D142" t="inlineStr">
        <is>
          <t>F1</t>
        </is>
      </c>
      <c r="E142" t="n">
        <v>7</v>
      </c>
      <c r="F142" t="inlineStr"/>
      <c r="G142" t="inlineStr"/>
      <c r="H142" t="inlineStr"/>
      <c r="I142" t="inlineStr"/>
      <c r="J142" t="inlineStr"/>
      <c r="K142" t="n">
        <v>42</v>
      </c>
      <c r="L142" t="n">
        <v>1302</v>
      </c>
      <c r="M142" t="inlineStr">
        <is>
          <t>High</t>
        </is>
      </c>
      <c r="N142" t="inlineStr">
        <is>
          <t>P1</t>
        </is>
      </c>
      <c r="O142" t="inlineStr">
        <is>
          <t>High Opening Stock (4,471) + Supply (595) exceeds Max Stock (3,086) vs Demand (678).</t>
        </is>
      </c>
      <c r="P142" t="inlineStr">
        <is>
          <t>Opening inventory of 4471 and supply of 595 exceed the demand of 678, resulting in a projected surplus of 4388. This inventory levels violates the maximum stock threshold of 3086 units by 1302 units, increasing holding risk.</t>
        </is>
      </c>
    </row>
    <row r="143">
      <c r="A143" t="inlineStr">
        <is>
          <t>2026-04-17</t>
        </is>
      </c>
      <c r="B143" t="inlineStr">
        <is>
          <t>BD-24536581-00142</t>
        </is>
      </c>
      <c r="C143" t="inlineStr">
        <is>
          <t>SKU_0005</t>
        </is>
      </c>
      <c r="D143" t="inlineStr">
        <is>
          <t>F1</t>
        </is>
      </c>
      <c r="E143" t="n">
        <v>8</v>
      </c>
      <c r="F143" t="inlineStr"/>
      <c r="G143" t="inlineStr"/>
      <c r="H143" t="inlineStr"/>
      <c r="I143" t="inlineStr"/>
      <c r="J143" t="inlineStr"/>
      <c r="K143" t="n">
        <v>105</v>
      </c>
      <c r="L143" t="n">
        <v>3264</v>
      </c>
      <c r="M143" t="inlineStr">
        <is>
          <t>High</t>
        </is>
      </c>
      <c r="N143" t="inlineStr">
        <is>
          <t>P1</t>
        </is>
      </c>
      <c r="O143" t="inlineStr">
        <is>
          <t>High Opening Stock (4,388) + Supply (2,097) exceeds Max Stock (3,086) vs Demand (135).</t>
        </is>
      </c>
      <c r="P143" t="inlineStr">
        <is>
          <t>Opening inventory of 4388 and supply of 2097 exceed the demand of 135, resulting in a projected surplus of 6350. This inventory levels violates the maximum stock threshold of 3086 units by 3264 units, increasing holding risk.</t>
        </is>
      </c>
    </row>
    <row r="144">
      <c r="A144" t="inlineStr">
        <is>
          <t>2026-04-17</t>
        </is>
      </c>
      <c r="B144" t="inlineStr">
        <is>
          <t>BD-24536581-00143</t>
        </is>
      </c>
      <c r="C144" t="inlineStr">
        <is>
          <t>SKU_0005</t>
        </is>
      </c>
      <c r="D144" t="inlineStr">
        <is>
          <t>F1</t>
        </is>
      </c>
      <c r="E144" t="n">
        <v>9</v>
      </c>
      <c r="F144" t="inlineStr"/>
      <c r="G144" t="inlineStr"/>
      <c r="H144" t="inlineStr"/>
      <c r="I144" t="inlineStr"/>
      <c r="J144" t="inlineStr"/>
      <c r="K144" t="n">
        <v>134</v>
      </c>
      <c r="L144" t="n">
        <v>4165</v>
      </c>
      <c r="M144" t="inlineStr">
        <is>
          <t>High</t>
        </is>
      </c>
      <c r="N144" t="inlineStr">
        <is>
          <t>P1</t>
        </is>
      </c>
      <c r="O144" t="inlineStr">
        <is>
          <t>High Opening Stock (6,350) + Supply (928) exceeds Max Stock (3,086) vs Demand (27).</t>
        </is>
      </c>
      <c r="P144" t="inlineStr">
        <is>
          <t>Opening inventory of 6350 and supply of 928 exceed the demand of 27, resulting in a projected surplus of 7251. This inventory levels violates the maximum stock threshold of 3086 units by 4165 units, increasing holding risk.</t>
        </is>
      </c>
    </row>
    <row r="145">
      <c r="A145" t="inlineStr">
        <is>
          <t>2026-04-17</t>
        </is>
      </c>
      <c r="B145" t="inlineStr">
        <is>
          <t>BD-24536581-00144</t>
        </is>
      </c>
      <c r="C145" t="inlineStr">
        <is>
          <t>SKU_0005</t>
        </is>
      </c>
      <c r="D145" t="inlineStr">
        <is>
          <t>F1</t>
        </is>
      </c>
      <c r="E145" t="n">
        <v>10</v>
      </c>
      <c r="F145" t="inlineStr"/>
      <c r="G145" t="inlineStr"/>
      <c r="H145" t="inlineStr"/>
      <c r="I145" t="inlineStr"/>
      <c r="J145" t="inlineStr"/>
      <c r="K145" t="n">
        <v>161</v>
      </c>
      <c r="L145" t="n">
        <v>4987</v>
      </c>
      <c r="M145" t="inlineStr">
        <is>
          <t>High</t>
        </is>
      </c>
      <c r="N145" t="inlineStr">
        <is>
          <t>P1</t>
        </is>
      </c>
      <c r="O145" t="inlineStr">
        <is>
          <t>High Opening Stock (7,251) + Supply (987) exceeds Max Stock (3,086) vs Demand (165).</t>
        </is>
      </c>
      <c r="P145" t="inlineStr">
        <is>
          <t>Opening inventory of 7251 and supply of 987 exceed the demand of 165, resulting in a projected surplus of 8073. This inventory levels violates the maximum stock threshold of 3086 units by 4987 units, increasing holding risk.</t>
        </is>
      </c>
    </row>
    <row r="146">
      <c r="A146" t="inlineStr">
        <is>
          <t>2026-04-17</t>
        </is>
      </c>
      <c r="B146" t="inlineStr">
        <is>
          <t>BD-24536581-00145</t>
        </is>
      </c>
      <c r="C146" t="inlineStr">
        <is>
          <t>SKU_0005</t>
        </is>
      </c>
      <c r="D146" t="inlineStr">
        <is>
          <t>F1</t>
        </is>
      </c>
      <c r="E146" t="n">
        <v>11</v>
      </c>
      <c r="F146" t="inlineStr"/>
      <c r="G146" t="inlineStr"/>
      <c r="H146" t="inlineStr"/>
      <c r="I146" t="inlineStr"/>
      <c r="J146" t="inlineStr"/>
      <c r="K146" t="n">
        <v>169</v>
      </c>
      <c r="L146" t="n">
        <v>5239</v>
      </c>
      <c r="M146" t="inlineStr">
        <is>
          <t>High</t>
        </is>
      </c>
      <c r="N146" t="inlineStr">
        <is>
          <t>P1</t>
        </is>
      </c>
      <c r="O146" t="inlineStr">
        <is>
          <t>High Opening Stock (8,073) + Supply (496) exceeds Max Stock (3,086) vs Demand (244).</t>
        </is>
      </c>
      <c r="P146" t="inlineStr">
        <is>
          <t>Opening inventory of 8073 and supply of 0 exceed the demand of 244, resulting in a projected surplus of 8325. This inventory levels violates the maximum stock threshold of 3086 units by 5239 units, increasing holding risk.</t>
        </is>
      </c>
    </row>
    <row r="147">
      <c r="A147" t="inlineStr">
        <is>
          <t>2026-04-17</t>
        </is>
      </c>
      <c r="B147" t="inlineStr">
        <is>
          <t>BD-24536581-00146</t>
        </is>
      </c>
      <c r="C147" t="inlineStr">
        <is>
          <t>SKU_0005</t>
        </is>
      </c>
      <c r="D147" t="inlineStr">
        <is>
          <t>F1</t>
        </is>
      </c>
      <c r="E147" t="n">
        <v>12</v>
      </c>
      <c r="F147" t="inlineStr"/>
      <c r="G147" t="inlineStr"/>
      <c r="H147" t="inlineStr"/>
      <c r="I147" t="inlineStr"/>
      <c r="J147" t="inlineStr"/>
      <c r="K147" t="n">
        <v>196</v>
      </c>
      <c r="L147" t="n">
        <v>6064</v>
      </c>
      <c r="M147" t="inlineStr">
        <is>
          <t>High</t>
        </is>
      </c>
      <c r="N147" t="inlineStr">
        <is>
          <t>P1</t>
        </is>
      </c>
      <c r="O147" t="inlineStr">
        <is>
          <t>Opening Stock (8,325) + Inbound Supply (825) vs Zero Demand, exceeds Max Stock (3,086).</t>
        </is>
      </c>
      <c r="P147" t="inlineStr">
        <is>
          <t>Opening inventory of 8325 and supply of 825 exceed the demand of 0, resulting in a projected surplus of 9150. This inventory levels violates the maximum stock threshold of 3086 units by 6064 units, increasing holding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2026-04-17T09:32:52Z</dcterms:created>
  <dcterms:modified xsi:type="dcterms:W3CDTF">2026-04-17T09:32:52Z</dcterms:modified>
</cp:coreProperties>
</file>